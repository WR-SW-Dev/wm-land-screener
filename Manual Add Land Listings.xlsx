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diebrooks/AI Development/MLS Tool Experiment/"/>
    </mc:Choice>
  </mc:AlternateContent>
  <xr:revisionPtr revIDLastSave="0" documentId="13_ncr:1_{08CDA0CE-95B3-FB46-924B-6128A0AD74A2}" xr6:coauthVersionLast="47" xr6:coauthVersionMax="47" xr10:uidLastSave="{00000000-0000-0000-0000-000000000000}"/>
  <bookViews>
    <workbookView xWindow="-20" yWindow="660" windowWidth="29400" windowHeight="17260" xr2:uid="{D6416307-D03F-1E4E-AB29-C99C8381EE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L22" i="1"/>
  <c r="L21" i="1"/>
  <c r="L20" i="1"/>
  <c r="L19" i="1"/>
  <c r="L18" i="1"/>
  <c r="L17" i="1"/>
  <c r="L16" i="1"/>
  <c r="L15" i="1"/>
  <c r="L14" i="1"/>
  <c r="L13" i="1"/>
  <c r="L12" i="1"/>
  <c r="C12" i="1"/>
  <c r="L11" i="1"/>
  <c r="L10" i="1"/>
  <c r="L9" i="1"/>
  <c r="L8" i="1"/>
  <c r="L7" i="1"/>
  <c r="L6" i="1"/>
  <c r="C6" i="1"/>
  <c r="C5" i="1"/>
</calcChain>
</file>

<file path=xl/sharedStrings.xml><?xml version="1.0" encoding="utf-8"?>
<sst xmlns="http://schemas.openxmlformats.org/spreadsheetml/2006/main" count="270" uniqueCount="168">
  <si>
    <t>CARWM &amp; Facebook Marketplace Listings</t>
  </si>
  <si>
    <t>List Price</t>
  </si>
  <si>
    <t>City</t>
  </si>
  <si>
    <t>County</t>
  </si>
  <si>
    <t>Zoning</t>
  </si>
  <si>
    <t>Allowable Density</t>
  </si>
  <si>
    <t>Master Plan</t>
  </si>
  <si>
    <t>Master Plan Density</t>
  </si>
  <si>
    <t>Lot Acres</t>
  </si>
  <si>
    <t>List Price/Acre</t>
  </si>
  <si>
    <t>Road Frontage</t>
  </si>
  <si>
    <t>Utilities Available</t>
  </si>
  <si>
    <t>EGLE Wetland</t>
  </si>
  <si>
    <t>Notes</t>
  </si>
  <si>
    <t>Holland</t>
  </si>
  <si>
    <t>Ottawa</t>
  </si>
  <si>
    <t>None</t>
  </si>
  <si>
    <t>421 E 32nd St</t>
  </si>
  <si>
    <t>PUD</t>
  </si>
  <si>
    <t>Norton Shores</t>
  </si>
  <si>
    <t>Muskegon</t>
  </si>
  <si>
    <t>1795 E Mt Garfield Rd</t>
  </si>
  <si>
    <t>Gobles</t>
  </si>
  <si>
    <t>Allegan</t>
  </si>
  <si>
    <t>Byron Center</t>
  </si>
  <si>
    <t>Kent</t>
  </si>
  <si>
    <t>FB-004</t>
  </si>
  <si>
    <t>https://www.facebook.com/marketplace/item/770748625560775/?ref=search&amp;referral_code=null&amp;referral_story_type=post&amp;tracking=browse_serp%3Abedb7b35-3437-4a10-baaa-d4c570c8bc56</t>
  </si>
  <si>
    <t>Cable, electric</t>
  </si>
  <si>
    <t>FB-006</t>
  </si>
  <si>
    <t>https://www.facebook.com/marketplace/item/1128706105919020/?ref=search&amp;referral_code=null&amp;referral_story_type=post&amp;tracking=browse_serp%3Abedb7b35-3437-4a10-baaa-d4c570c8bc56</t>
  </si>
  <si>
    <t>North Dorr</t>
  </si>
  <si>
    <t>Adjacent to a 3.22 acre parcel also for sale</t>
  </si>
  <si>
    <t>FB-007</t>
  </si>
  <si>
    <t>https://www.facebook.com/marketplace/item/887723437223989?ref=search&amp;referral_code=null&amp;referral_story_type=post&amp;tracking=browse_serp%3Ac21c53d1-4227-4298-b330-8ca352332854</t>
  </si>
  <si>
    <t>Flat and cleared</t>
  </si>
  <si>
    <t>FB-008</t>
  </si>
  <si>
    <t>https://www.facebook.com/marketplace/item/869792449116458/?ref=search&amp;referral_code=null&amp;referral_story_type=post&amp;tracking=browse_serp%3Ac21c53d1-4227-4298-b330-8ca352332854</t>
  </si>
  <si>
    <t>A little outside focus counties, 45% of the land is wetland and not buildable</t>
  </si>
  <si>
    <t>FB-011</t>
  </si>
  <si>
    <t>https://www.facebook.com/marketplace/item/1371338878022259/?ref=search&amp;referral_code=null&amp;referral_story_type=post&amp;tracking=browse_serp%3A9bcfe837-b5fa-46f3-b1de-36b59f9f5ee2</t>
  </si>
  <si>
    <t>Van Buren</t>
  </si>
  <si>
    <t>NEW HOLLAND</t>
  </si>
  <si>
    <t>I-1 (Light Industrial)</t>
  </si>
  <si>
    <t>2399 E Sternberg Rd</t>
  </si>
  <si>
    <t>14 units per acre of land</t>
  </si>
  <si>
    <t>3717 Beeline rd</t>
  </si>
  <si>
    <t>R-3 (HDR)</t>
  </si>
  <si>
    <t>HDR</t>
  </si>
  <si>
    <t>7,200 sq ft</t>
  </si>
  <si>
    <t>864 sq ft</t>
  </si>
  <si>
    <t>645 sq ft</t>
  </si>
  <si>
    <t>PENDING All zoning info is based on MDR as HDR was not specified</t>
  </si>
  <si>
    <t>12501 Greenly St</t>
  </si>
  <si>
    <t>Water &amp; sewer</t>
  </si>
  <si>
    <t>Future land use is part commercial, part HDR</t>
  </si>
  <si>
    <t>Fruitport</t>
  </si>
  <si>
    <t>5 units per acre</t>
  </si>
  <si>
    <t>Combination of three parcels</t>
  </si>
  <si>
    <t>565 O'Malley Dr</t>
  </si>
  <si>
    <t>Coopersville</t>
  </si>
  <si>
    <t>~3.6 units per acre</t>
  </si>
  <si>
    <t>1,200 sqft</t>
  </si>
  <si>
    <t>1442 E Broadway Ave</t>
  </si>
  <si>
    <t>SUD</t>
  </si>
  <si>
    <t>Not specified</t>
  </si>
  <si>
    <t>VL Whitehall- West Side</t>
  </si>
  <si>
    <t>Whitehall</t>
  </si>
  <si>
    <t>~1.5 units per acre</t>
  </si>
  <si>
    <t>MHDR</t>
  </si>
  <si>
    <t>30,000 sq ft</t>
  </si>
  <si>
    <t>1,120 sq ft</t>
  </si>
  <si>
    <t>960 sq ft</t>
  </si>
  <si>
    <t>Appears to have all</t>
  </si>
  <si>
    <t>PENDING : https://ecode360.com/37642039</t>
  </si>
  <si>
    <t>81 Central Ave</t>
  </si>
  <si>
    <t>NDT</t>
  </si>
  <si>
    <t>PENDING Currently improved with a radio station bldg</t>
  </si>
  <si>
    <t>Jaric Rd</t>
  </si>
  <si>
    <t>R1 (Single-Family)</t>
  </si>
  <si>
    <t>~4.8 untis per acre</t>
  </si>
  <si>
    <t>R1</t>
  </si>
  <si>
    <t>9,000 sq ft</t>
  </si>
  <si>
    <t>168th Ave</t>
  </si>
  <si>
    <t>Grand Haven</t>
  </si>
  <si>
    <t>RR</t>
  </si>
  <si>
    <t>1 unit per acre</t>
  </si>
  <si>
    <t>MDR</t>
  </si>
  <si>
    <t>40,000 sq ft</t>
  </si>
  <si>
    <t>1,100 sq ft</t>
  </si>
  <si>
    <t>11305 84th Ave</t>
  </si>
  <si>
    <t>Allendale</t>
  </si>
  <si>
    <t>AG</t>
  </si>
  <si>
    <t>Most likely all nearby</t>
  </si>
  <si>
    <t>1 acre</t>
  </si>
  <si>
    <t>Link</t>
  </si>
  <si>
    <t>Property Key</t>
  </si>
  <si>
    <t>Acres</t>
  </si>
  <si>
    <t>Price/Acre</t>
  </si>
  <si>
    <t>Utilities</t>
  </si>
  <si>
    <t>As of 7/23/26</t>
  </si>
  <si>
    <t>570 S Harvey St</t>
  </si>
  <si>
    <t>-</t>
  </si>
  <si>
    <t>City of Muskegon</t>
  </si>
  <si>
    <t>RM-1</t>
  </si>
  <si>
    <t>4 units per acre</t>
  </si>
  <si>
    <t>Multi-family residential</t>
  </si>
  <si>
    <t>none</t>
  </si>
  <si>
    <t>10,890 sq ft</t>
  </si>
  <si>
    <t>355 East 64th Street</t>
  </si>
  <si>
    <t>Ciy of Holland</t>
  </si>
  <si>
    <t>Industrial</t>
  </si>
  <si>
    <t>N Park Dr</t>
  </si>
  <si>
    <t>Holland Township</t>
  </si>
  <si>
    <t>C-2</t>
  </si>
  <si>
    <t>Mixed Use</t>
  </si>
  <si>
    <t>N/A</t>
  </si>
  <si>
    <t>Minimal</t>
  </si>
  <si>
    <t>1404 E Ellis Rd</t>
  </si>
  <si>
    <t>Flexible</t>
  </si>
  <si>
    <t>Regional Commercial</t>
  </si>
  <si>
    <t>Farr Rd</t>
  </si>
  <si>
    <t>R-1 &amp; B-2</t>
  </si>
  <si>
    <t>~3 units per acre</t>
  </si>
  <si>
    <t>15,000 sq ft</t>
  </si>
  <si>
    <t>Sale is subject to municipal approval of land division/lot line adjustment</t>
  </si>
  <si>
    <t>568 W Randall St</t>
  </si>
  <si>
    <t>R-4 (Multi-Family Res)</t>
  </si>
  <si>
    <t>Communtiy Com</t>
  </si>
  <si>
    <t xml:space="preserve">12,000 sq ft </t>
  </si>
  <si>
    <t>1,200 sq ft</t>
  </si>
  <si>
    <t>Already approved for 58-unit multi-family proejct</t>
  </si>
  <si>
    <t>Property Key (Address)</t>
  </si>
  <si>
    <t>Listing Date</t>
  </si>
  <si>
    <t>Days on Market</t>
  </si>
  <si>
    <t>Minimum Lot Area</t>
  </si>
  <si>
    <t>Maximum Lot Coverage</t>
  </si>
  <si>
    <t>Minimum Unit Size</t>
  </si>
  <si>
    <t>Minimum Ground Floor</t>
  </si>
  <si>
    <t>Land is cleared and beside Glen Oaks Apartments</t>
  </si>
  <si>
    <t>PENDING - 6 contiguous parcel, 23 acres total, level site</t>
  </si>
  <si>
    <t>~ 6 lots per acre
(MDR density)</t>
  </si>
  <si>
    <t>Commercial 
&amp; HDR</t>
  </si>
  <si>
    <t>~2.9 lots per acre
(higher with PUD)</t>
  </si>
  <si>
    <t>No Residential w/ current
zoning</t>
  </si>
  <si>
    <t>MFR (multiple
family resdiential)</t>
  </si>
  <si>
    <t>Gas, electric, 
municipal water/
sewer, telecom</t>
  </si>
  <si>
    <t>12,000 sq ft 
(future land use)</t>
  </si>
  <si>
    <t>MF residential immediately north of parcel 
(Setter's Point Apartments)</t>
  </si>
  <si>
    <t>Old school building on property, notes indicate
brownfield incentives could be available for site clearing/ demolition associated with redevelopment of parcel</t>
  </si>
  <si>
    <t>Two or more 
attached dwelling
units</t>
  </si>
  <si>
    <t>F-NDT (Form based
code north downtown</t>
  </si>
  <si>
    <t>5+ attached units (MF);
at least 3 attached 
townhomes</t>
  </si>
  <si>
    <t>Appears to have
all incl. water &amp; 
sewer</t>
  </si>
  <si>
    <t>Wetlands showing
in the middle of
parcel</t>
  </si>
  <si>
    <t>Unclear but ~3 
units per acre</t>
  </si>
  <si>
    <t>PENDING - clarify residential use permitted in industrial, 
cleared, partially in airport overlay district</t>
  </si>
  <si>
    <t>In between Walmart and mobile home neighborhood - 
current zoning doesn't allow res but future mixed use may</t>
  </si>
  <si>
    <t>All including 
water &amp; sewer</t>
  </si>
  <si>
    <t>Fruitport 
Township</t>
  </si>
  <si>
    <t>MHDR &amp; NC (Neighborhood
Commercial on Whitehall 
Rd frontage)</t>
  </si>
  <si>
    <t>No Residential w/ 
current zoning</t>
  </si>
  <si>
    <t>Water &amp; sewer 
planned for 2026</t>
  </si>
  <si>
    <t>Some presence 
throughout</t>
  </si>
  <si>
    <t>SW corner &amp; N top 
of parcel</t>
  </si>
  <si>
    <t>Behind Chestnut Fields Retirement Community -- 
Zoning ordinance: https://fruitporttownship-mi.gov/wp-content/uploads/2025/08/CD42-65-thru-89.pdf</t>
  </si>
  <si>
    <t>There is an adjacent 15 acre parcel to the east of Whitehall Rd and a 30+ acre parcel 
adjoining it</t>
  </si>
  <si>
    <t>Not developable by right but directly adjacent to JTB Homes Placid Waters housing 
development currently under construction which is a PUD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</si>
</sst>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&quot;$&quot;#,##0"/>
  </numFmts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indexed="8"/>
      <name val="Helvetica Neue"/>
      <family val="2"/>
    </font>
    <font>
      <sz val="12"/>
      <color theme="1"/>
      <name val="Aptos Narrow"/>
      <scheme val="minor"/>
    </font>
    <font>
      <u/>
      <sz val="12"/>
      <color theme="10"/>
      <name val="Aptos Narrow"/>
      <scheme val="minor"/>
    </font>
    <font>
      <b/>
      <sz val="12"/>
      <color indexed="8"/>
      <name val="Aptos Narrow"/>
      <scheme val="minor"/>
    </font>
    <font>
      <sz val="12"/>
      <color indexed="8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8" fontId="5" fillId="0" borderId="0" xfId="0" applyNumberFormat="1" applyFont="1" applyAlignment="1">
      <alignment horizontal="center" vertical="center"/>
    </xf>
    <xf numFmtId="0" fontId="6" fillId="0" borderId="0" xfId="1" applyFont="1" applyAlignment="1">
      <alignment horizontal="left" vertical="center" wrapText="1"/>
    </xf>
    <xf numFmtId="9" fontId="5" fillId="0" borderId="0" xfId="3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1" applyFont="1" applyFill="1" applyAlignment="1">
      <alignment horizontal="left" vertical="center"/>
    </xf>
    <xf numFmtId="0" fontId="6" fillId="0" borderId="0" xfId="1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65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6" fillId="0" borderId="0" xfId="1" applyFont="1" applyAlignment="1">
      <alignment horizontal="left" vertical="top" wrapText="1"/>
    </xf>
    <xf numFmtId="0" fontId="6" fillId="0" borderId="0" xfId="1" applyFont="1" applyFill="1" applyAlignment="1">
      <alignment horizontal="left" vertical="top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center" vertical="center" wrapText="1"/>
    </xf>
    <xf numFmtId="6" fontId="10" fillId="0" borderId="0" xfId="0" applyNumberFormat="1" applyFont="1" applyAlignment="1">
      <alignment horizontal="center" vertical="center" wrapText="1"/>
    </xf>
    <xf numFmtId="8" fontId="10" fillId="0" borderId="0" xfId="0" applyNumberFormat="1" applyFont="1" applyAlignment="1">
      <alignment horizontal="center" vertical="center" wrapText="1"/>
    </xf>
    <xf numFmtId="49" fontId="7" fillId="2" borderId="2" xfId="0" applyNumberFormat="1" applyFont="1" applyFill="1" applyBorder="1" applyAlignment="1">
      <alignment vertical="center"/>
    </xf>
    <xf numFmtId="49" fontId="7" fillId="2" borderId="2" xfId="0" applyNumberFormat="1" applyFont="1" applyFill="1" applyBorder="1" applyAlignment="1">
      <alignment horizontal="center" vertical="center"/>
    </xf>
    <xf numFmtId="164" fontId="7" fillId="2" borderId="2" xfId="2" applyNumberFormat="1" applyFont="1" applyFill="1" applyBorder="1" applyAlignment="1">
      <alignment horizontal="center" vertical="center"/>
    </xf>
    <xf numFmtId="43" fontId="7" fillId="2" borderId="2" xfId="2" applyFont="1" applyFill="1" applyBorder="1" applyAlignment="1">
      <alignment horizontal="center" vertical="center"/>
    </xf>
    <xf numFmtId="9" fontId="7" fillId="2" borderId="2" xfId="3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left" vertical="center"/>
    </xf>
  </cellXfs>
  <cellStyles count="4">
    <cellStyle name="Comma" xfId="2" builtinId="3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tbhomes.com/neighborhoods/placid-waters/" TargetMode="External"/><Relationship Id="rId3" Type="http://schemas.openxmlformats.org/officeDocument/2006/relationships/hyperlink" Target="https://www.facebook.com/marketplace/item/869792449116458/?ref=search&amp;referral_code=null&amp;referral_story_type=post&amp;tracking=browse_serp%3Ac21c53d1-4227-4298-b330-8ca352332854" TargetMode="External"/><Relationship Id="rId7" Type="http://schemas.openxmlformats.org/officeDocument/2006/relationships/hyperlink" Target="https://ecode360.com/37642039" TargetMode="External"/><Relationship Id="rId2" Type="http://schemas.openxmlformats.org/officeDocument/2006/relationships/hyperlink" Target="https://www.facebook.com/marketplace/item/887723437223989?ref=search&amp;referral_code=null&amp;referral_story_type=post&amp;tracking=browse_serp%3Ac21c53d1-4227-4298-b330-8ca352332854" TargetMode="External"/><Relationship Id="rId1" Type="http://schemas.openxmlformats.org/officeDocument/2006/relationships/hyperlink" Target="https://www.facebook.com/marketplace/item/1128706105919020/?ref=search&amp;referral_code=null&amp;referral_story_type=post&amp;tracking=browse_serp%3Abedb7b35-3437-4a10-baaa-d4c570c8bc56" TargetMode="External"/><Relationship Id="rId6" Type="http://schemas.openxmlformats.org/officeDocument/2006/relationships/hyperlink" Target="https://fruitporttownship-mi.gov/wp-content/uploads/2025/08/CD42-65-thru-89.pdf" TargetMode="External"/><Relationship Id="rId5" Type="http://schemas.openxmlformats.org/officeDocument/2006/relationships/hyperlink" Target="https://www.facebook.com/marketplace/item/770748625560775/?ref=search&amp;referral_code=null&amp;referral_story_type=post&amp;tracking=browse_serp%3Abedb7b35-3437-4a10-baaa-d4c570c8bc56" TargetMode="External"/><Relationship Id="rId4" Type="http://schemas.openxmlformats.org/officeDocument/2006/relationships/hyperlink" Target="https://www.facebook.com/marketplace/item/1371338878022259/?ref=search&amp;referral_code=null&amp;referral_story_type=post&amp;tracking=browse_serp%3A9bcfe837-b5fa-46f3-b1de-36b59f9f5ee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14198-934E-534E-AE05-C3B0537CE76B}">
  <dimension ref="A1:AX845"/>
  <sheetViews>
    <sheetView tabSelected="1" topLeftCell="A10" zoomScale="80" zoomScaleNormal="80" workbookViewId="0">
      <selection activeCell="D21" sqref="D21"/>
    </sheetView>
  </sheetViews>
  <sheetFormatPr baseColWidth="10" defaultRowHeight="16" x14ac:dyDescent="0.2"/>
  <cols>
    <col min="1" max="1" width="21.83203125" customWidth="1"/>
    <col min="2" max="2" width="13.83203125" style="2" customWidth="1"/>
    <col min="3" max="3" width="15.33203125" style="2" customWidth="1"/>
    <col min="4" max="4" width="25" style="2" customWidth="1"/>
    <col min="5" max="5" width="22.83203125" style="2" customWidth="1"/>
    <col min="6" max="6" width="20.33203125" style="2" customWidth="1"/>
    <col min="7" max="7" width="20.1640625" style="2" customWidth="1"/>
    <col min="8" max="8" width="24.33203125" style="2" customWidth="1"/>
    <col min="9" max="9" width="21.5" style="2" customWidth="1"/>
    <col min="10" max="10" width="18.1640625" style="2" customWidth="1"/>
    <col min="11" max="11" width="16.33203125" style="2" customWidth="1"/>
    <col min="12" max="12" width="25.6640625" style="2" customWidth="1"/>
    <col min="13" max="13" width="16" style="2" customWidth="1"/>
    <col min="14" max="14" width="18.33203125" style="2" customWidth="1"/>
    <col min="15" max="15" width="16.1640625" style="2" customWidth="1"/>
    <col min="16" max="16" width="17.5" style="2" customWidth="1"/>
    <col min="17" max="17" width="22.5" customWidth="1"/>
    <col min="18" max="18" width="21.5" customWidth="1"/>
    <col min="19" max="19" width="23" customWidth="1"/>
    <col min="20" max="20" width="64.83203125" customWidth="1"/>
  </cols>
  <sheetData>
    <row r="1" spans="1:50" x14ac:dyDescent="0.2">
      <c r="A1" s="1" t="s">
        <v>0</v>
      </c>
    </row>
    <row r="2" spans="1:50" x14ac:dyDescent="0.2">
      <c r="A2" t="s">
        <v>100</v>
      </c>
    </row>
    <row r="4" spans="1:50" ht="16" customHeight="1" x14ac:dyDescent="0.2">
      <c r="A4" s="38" t="s">
        <v>132</v>
      </c>
      <c r="B4" s="39" t="s">
        <v>133</v>
      </c>
      <c r="C4" s="39" t="s">
        <v>134</v>
      </c>
      <c r="D4" s="40" t="s">
        <v>1</v>
      </c>
      <c r="E4" s="39" t="s">
        <v>2</v>
      </c>
      <c r="F4" s="39" t="s">
        <v>3</v>
      </c>
      <c r="G4" s="39" t="s">
        <v>4</v>
      </c>
      <c r="H4" s="39" t="s">
        <v>5</v>
      </c>
      <c r="I4" s="39" t="s">
        <v>6</v>
      </c>
      <c r="J4" s="39" t="s">
        <v>7</v>
      </c>
      <c r="K4" s="39" t="s">
        <v>8</v>
      </c>
      <c r="L4" s="41" t="s">
        <v>9</v>
      </c>
      <c r="M4" s="40" t="s">
        <v>10</v>
      </c>
      <c r="N4" s="39" t="s">
        <v>11</v>
      </c>
      <c r="O4" s="39" t="s">
        <v>12</v>
      </c>
      <c r="P4" s="39" t="s">
        <v>135</v>
      </c>
      <c r="Q4" s="42" t="s">
        <v>136</v>
      </c>
      <c r="R4" s="39" t="s">
        <v>137</v>
      </c>
      <c r="S4" s="39" t="s">
        <v>138</v>
      </c>
      <c r="T4" s="43" t="s">
        <v>13</v>
      </c>
      <c r="U4" s="7"/>
      <c r="V4" s="7"/>
      <c r="W4" s="7"/>
      <c r="X4" s="7"/>
      <c r="Y4" s="7"/>
      <c r="Z4" s="7"/>
      <c r="AA4" s="7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0" x14ac:dyDescent="0.2">
      <c r="A5" s="26" t="s">
        <v>42</v>
      </c>
      <c r="B5" s="9">
        <v>45889</v>
      </c>
      <c r="C5" s="10">
        <f ca="1">TODAY()-B5</f>
        <v>337</v>
      </c>
      <c r="D5" s="11">
        <v>313500</v>
      </c>
      <c r="E5" s="27" t="s">
        <v>14</v>
      </c>
      <c r="F5" s="27" t="s">
        <v>15</v>
      </c>
      <c r="G5" s="27" t="s">
        <v>43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28"/>
      <c r="U5" s="7"/>
      <c r="V5" s="7"/>
      <c r="W5" s="7"/>
      <c r="X5" s="7"/>
      <c r="Y5" s="7"/>
      <c r="Z5" s="7"/>
      <c r="AA5" s="7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spans="1:50" ht="52" customHeight="1" x14ac:dyDescent="0.2">
      <c r="A6" s="26" t="s">
        <v>44</v>
      </c>
      <c r="B6" s="9">
        <v>45916</v>
      </c>
      <c r="C6" s="10">
        <f ca="1">TODAY()-B6</f>
        <v>310</v>
      </c>
      <c r="D6" s="11">
        <v>700000</v>
      </c>
      <c r="E6" s="27" t="s">
        <v>20</v>
      </c>
      <c r="F6" s="27" t="s">
        <v>20</v>
      </c>
      <c r="G6" s="27" t="s">
        <v>18</v>
      </c>
      <c r="H6" s="27" t="s">
        <v>45</v>
      </c>
      <c r="I6" s="12"/>
      <c r="J6" s="12"/>
      <c r="K6" s="12">
        <v>9.39</v>
      </c>
      <c r="L6" s="13">
        <f>D6/K6</f>
        <v>74547.39084132055</v>
      </c>
      <c r="M6" s="12"/>
      <c r="N6" s="12"/>
      <c r="O6" s="27" t="s">
        <v>16</v>
      </c>
      <c r="P6" s="12"/>
      <c r="Q6" s="12"/>
      <c r="R6" s="12"/>
      <c r="S6" s="12"/>
      <c r="T6" s="14" t="s">
        <v>165</v>
      </c>
      <c r="U6" s="7"/>
      <c r="V6" s="7"/>
      <c r="W6" s="7"/>
      <c r="X6" s="7"/>
      <c r="Y6" s="7"/>
      <c r="Z6" s="7"/>
      <c r="AA6" s="7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 spans="1:50" ht="36" customHeight="1" x14ac:dyDescent="0.2">
      <c r="A7" s="26" t="s">
        <v>46</v>
      </c>
      <c r="B7" s="27" t="s">
        <v>102</v>
      </c>
      <c r="C7" s="27" t="s">
        <v>102</v>
      </c>
      <c r="D7" s="11">
        <v>2100000</v>
      </c>
      <c r="E7" s="27" t="s">
        <v>14</v>
      </c>
      <c r="F7" s="27" t="s">
        <v>15</v>
      </c>
      <c r="G7" s="27" t="s">
        <v>47</v>
      </c>
      <c r="H7" s="27" t="s">
        <v>141</v>
      </c>
      <c r="I7" s="27" t="s">
        <v>48</v>
      </c>
      <c r="J7" s="29" t="s">
        <v>141</v>
      </c>
      <c r="K7" s="12">
        <v>28.5</v>
      </c>
      <c r="L7" s="13">
        <f t="shared" ref="L7:L23" si="0">D7/K7</f>
        <v>73684.210526315786</v>
      </c>
      <c r="M7" s="12"/>
      <c r="N7" s="29" t="s">
        <v>162</v>
      </c>
      <c r="O7" s="12"/>
      <c r="P7" s="30" t="s">
        <v>49</v>
      </c>
      <c r="Q7" s="15">
        <v>0.5</v>
      </c>
      <c r="R7" s="27" t="s">
        <v>50</v>
      </c>
      <c r="S7" s="27" t="s">
        <v>51</v>
      </c>
      <c r="T7" s="28" t="s">
        <v>52</v>
      </c>
      <c r="U7" s="7"/>
      <c r="V7" s="7"/>
      <c r="W7" s="7"/>
      <c r="X7" s="7"/>
      <c r="Y7" s="7"/>
      <c r="Z7" s="7"/>
      <c r="AA7" s="7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 spans="1:50" ht="34" customHeight="1" x14ac:dyDescent="0.2">
      <c r="A8" s="26" t="s">
        <v>53</v>
      </c>
      <c r="B8" s="27" t="s">
        <v>102</v>
      </c>
      <c r="C8" s="27" t="s">
        <v>102</v>
      </c>
      <c r="D8" s="11">
        <v>1725000</v>
      </c>
      <c r="E8" s="27" t="s">
        <v>14</v>
      </c>
      <c r="F8" s="27" t="s">
        <v>15</v>
      </c>
      <c r="G8" s="27" t="s">
        <v>48</v>
      </c>
      <c r="H8" s="27" t="s">
        <v>141</v>
      </c>
      <c r="I8" s="27" t="s">
        <v>142</v>
      </c>
      <c r="J8" s="29" t="s">
        <v>141</v>
      </c>
      <c r="K8" s="12">
        <v>20.65</v>
      </c>
      <c r="L8" s="13">
        <f t="shared" si="0"/>
        <v>83535.10895883778</v>
      </c>
      <c r="M8" s="12"/>
      <c r="N8" s="27" t="s">
        <v>54</v>
      </c>
      <c r="O8" s="29" t="s">
        <v>163</v>
      </c>
      <c r="P8" s="27" t="s">
        <v>49</v>
      </c>
      <c r="Q8" s="15">
        <v>0.5</v>
      </c>
      <c r="R8" s="27" t="s">
        <v>50</v>
      </c>
      <c r="S8" s="27" t="s">
        <v>51</v>
      </c>
      <c r="T8" s="28" t="s">
        <v>55</v>
      </c>
      <c r="U8" s="7"/>
      <c r="V8" s="7"/>
      <c r="W8" s="7"/>
      <c r="X8" s="7"/>
      <c r="Y8" s="7"/>
      <c r="Z8" s="7"/>
      <c r="AA8" s="7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 spans="1:50" ht="34" customHeight="1" x14ac:dyDescent="0.2">
      <c r="A9" s="26" t="s">
        <v>21</v>
      </c>
      <c r="B9" s="27" t="s">
        <v>102</v>
      </c>
      <c r="C9" s="27" t="s">
        <v>102</v>
      </c>
      <c r="D9" s="11">
        <v>610000</v>
      </c>
      <c r="E9" s="27" t="s">
        <v>56</v>
      </c>
      <c r="F9" s="27" t="s">
        <v>20</v>
      </c>
      <c r="G9" s="27" t="s">
        <v>18</v>
      </c>
      <c r="H9" s="27" t="s">
        <v>57</v>
      </c>
      <c r="I9" s="27" t="s">
        <v>48</v>
      </c>
      <c r="J9" s="29" t="s">
        <v>143</v>
      </c>
      <c r="K9" s="12">
        <v>8.35</v>
      </c>
      <c r="L9" s="13">
        <f t="shared" si="0"/>
        <v>73053.892215568863</v>
      </c>
      <c r="M9" s="12"/>
      <c r="N9" s="12"/>
      <c r="O9" s="27" t="s">
        <v>16</v>
      </c>
      <c r="P9" s="27" t="s">
        <v>16</v>
      </c>
      <c r="Q9" s="15">
        <v>0.25</v>
      </c>
      <c r="R9" s="12"/>
      <c r="S9" s="12"/>
      <c r="T9" s="28" t="s">
        <v>58</v>
      </c>
      <c r="U9" s="7"/>
      <c r="V9" s="7"/>
      <c r="W9" s="7"/>
      <c r="X9" s="7"/>
      <c r="Y9" s="7"/>
      <c r="Z9" s="7"/>
      <c r="AA9" s="7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 spans="1:50" ht="53" customHeight="1" x14ac:dyDescent="0.2">
      <c r="A10" s="8" t="s">
        <v>59</v>
      </c>
      <c r="B10" s="12" t="s">
        <v>102</v>
      </c>
      <c r="C10" s="12" t="s">
        <v>102</v>
      </c>
      <c r="D10" s="11">
        <v>589040</v>
      </c>
      <c r="E10" s="12" t="s">
        <v>60</v>
      </c>
      <c r="F10" s="12" t="s">
        <v>15</v>
      </c>
      <c r="G10" s="12" t="s">
        <v>43</v>
      </c>
      <c r="H10" s="16" t="s">
        <v>161</v>
      </c>
      <c r="I10" s="16" t="s">
        <v>145</v>
      </c>
      <c r="J10" s="12" t="s">
        <v>61</v>
      </c>
      <c r="K10" s="12">
        <v>5.87</v>
      </c>
      <c r="L10" s="11">
        <f>D10/K10</f>
        <v>100347.52981260647</v>
      </c>
      <c r="M10" s="12"/>
      <c r="N10" s="16" t="s">
        <v>146</v>
      </c>
      <c r="O10" s="12" t="s">
        <v>16</v>
      </c>
      <c r="P10" s="16" t="s">
        <v>147</v>
      </c>
      <c r="Q10" s="17">
        <v>0.35</v>
      </c>
      <c r="R10" s="12" t="s">
        <v>62</v>
      </c>
      <c r="S10" s="12"/>
      <c r="T10" s="18" t="s">
        <v>148</v>
      </c>
      <c r="U10" s="7"/>
      <c r="V10" s="7"/>
      <c r="W10" s="7"/>
      <c r="X10" s="7"/>
      <c r="Y10" s="7"/>
      <c r="Z10" s="7"/>
      <c r="AA10" s="7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spans="1:50" ht="51" x14ac:dyDescent="0.2">
      <c r="A11" s="26" t="s">
        <v>63</v>
      </c>
      <c r="B11" s="27" t="s">
        <v>102</v>
      </c>
      <c r="C11" s="27" t="s">
        <v>102</v>
      </c>
      <c r="D11" s="11">
        <v>199000</v>
      </c>
      <c r="E11" s="27" t="s">
        <v>19</v>
      </c>
      <c r="F11" s="27" t="s">
        <v>20</v>
      </c>
      <c r="G11" s="27" t="s">
        <v>64</v>
      </c>
      <c r="H11" s="27" t="s">
        <v>65</v>
      </c>
      <c r="I11" s="12"/>
      <c r="J11" s="12"/>
      <c r="K11" s="12">
        <v>5.2</v>
      </c>
      <c r="L11" s="13">
        <f t="shared" si="0"/>
        <v>38269.230769230766</v>
      </c>
      <c r="M11" s="12"/>
      <c r="N11" s="12"/>
      <c r="O11" s="12"/>
      <c r="P11" s="12"/>
      <c r="Q11" s="12"/>
      <c r="R11" s="12"/>
      <c r="S11" s="12"/>
      <c r="T11" s="31" t="s">
        <v>149</v>
      </c>
      <c r="U11" s="7"/>
      <c r="V11" s="7"/>
      <c r="W11" s="7"/>
      <c r="X11" s="7"/>
      <c r="Y11" s="7"/>
      <c r="Z11" s="7"/>
      <c r="AA11" s="7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 spans="1:50" ht="85" x14ac:dyDescent="0.2">
      <c r="A12" s="26" t="s">
        <v>66</v>
      </c>
      <c r="B12" s="9">
        <v>46048</v>
      </c>
      <c r="C12" s="12">
        <f ca="1">TODAY()-B12</f>
        <v>178</v>
      </c>
      <c r="D12" s="11">
        <v>300000</v>
      </c>
      <c r="E12" s="27" t="s">
        <v>67</v>
      </c>
      <c r="F12" s="27" t="s">
        <v>20</v>
      </c>
      <c r="G12" s="29" t="s">
        <v>160</v>
      </c>
      <c r="H12" s="27" t="s">
        <v>68</v>
      </c>
      <c r="I12" s="27" t="s">
        <v>69</v>
      </c>
      <c r="J12" s="27" t="s">
        <v>68</v>
      </c>
      <c r="K12" s="12">
        <v>20</v>
      </c>
      <c r="L12" s="11">
        <f t="shared" si="0"/>
        <v>15000</v>
      </c>
      <c r="M12" s="12"/>
      <c r="N12" s="12"/>
      <c r="O12" s="12"/>
      <c r="P12" s="27" t="s">
        <v>70</v>
      </c>
      <c r="Q12" s="15">
        <v>0.25</v>
      </c>
      <c r="R12" s="27" t="s">
        <v>71</v>
      </c>
      <c r="S12" s="27" t="s">
        <v>72</v>
      </c>
      <c r="T12" s="31" t="s">
        <v>166</v>
      </c>
      <c r="U12" s="7"/>
      <c r="V12" s="7"/>
      <c r="W12" s="7"/>
      <c r="X12" s="7"/>
      <c r="Y12" s="7"/>
      <c r="Z12" s="7"/>
      <c r="AA12" s="7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 spans="1:50" ht="51" x14ac:dyDescent="0.2">
      <c r="A13" s="8" t="s">
        <v>17</v>
      </c>
      <c r="B13" s="12" t="s">
        <v>102</v>
      </c>
      <c r="C13" s="12" t="s">
        <v>102</v>
      </c>
      <c r="D13" s="11">
        <v>750000</v>
      </c>
      <c r="E13" s="12" t="s">
        <v>14</v>
      </c>
      <c r="F13" s="12" t="s">
        <v>15</v>
      </c>
      <c r="G13" s="12" t="s">
        <v>18</v>
      </c>
      <c r="H13" s="12" t="s">
        <v>57</v>
      </c>
      <c r="I13" s="12" t="s">
        <v>48</v>
      </c>
      <c r="J13" s="16" t="s">
        <v>150</v>
      </c>
      <c r="K13" s="12">
        <v>3.5</v>
      </c>
      <c r="L13" s="11">
        <f t="shared" si="0"/>
        <v>214285.71428571429</v>
      </c>
      <c r="M13" s="12">
        <v>462</v>
      </c>
      <c r="N13" s="12" t="s">
        <v>73</v>
      </c>
      <c r="O13" s="12" t="s">
        <v>16</v>
      </c>
      <c r="P13" s="12"/>
      <c r="Q13" s="12"/>
      <c r="R13" s="12"/>
      <c r="S13" s="12"/>
      <c r="T13" s="19" t="s">
        <v>74</v>
      </c>
      <c r="U13" s="7"/>
      <c r="V13" s="7"/>
      <c r="W13" s="7"/>
      <c r="X13" s="7"/>
      <c r="Y13" s="7"/>
      <c r="Z13" s="7"/>
      <c r="AA13" s="7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spans="1:50" ht="51" x14ac:dyDescent="0.2">
      <c r="A14" s="8" t="s">
        <v>75</v>
      </c>
      <c r="B14" s="12" t="s">
        <v>102</v>
      </c>
      <c r="C14" s="12" t="s">
        <v>102</v>
      </c>
      <c r="D14" s="11">
        <v>550000</v>
      </c>
      <c r="E14" s="12" t="s">
        <v>14</v>
      </c>
      <c r="F14" s="12" t="s">
        <v>15</v>
      </c>
      <c r="G14" s="16" t="s">
        <v>151</v>
      </c>
      <c r="H14" s="16" t="s">
        <v>152</v>
      </c>
      <c r="I14" s="12" t="s">
        <v>76</v>
      </c>
      <c r="J14" s="12"/>
      <c r="K14" s="12">
        <v>5.3</v>
      </c>
      <c r="L14" s="11">
        <f t="shared" si="0"/>
        <v>103773.58490566038</v>
      </c>
      <c r="M14" s="12"/>
      <c r="N14" s="16" t="s">
        <v>153</v>
      </c>
      <c r="O14" s="16" t="s">
        <v>154</v>
      </c>
      <c r="P14" s="12"/>
      <c r="Q14" s="12"/>
      <c r="R14" s="12"/>
      <c r="S14" s="12"/>
      <c r="T14" s="18" t="s">
        <v>77</v>
      </c>
      <c r="U14" s="7"/>
      <c r="V14" s="7"/>
      <c r="W14" s="7"/>
      <c r="X14" s="7"/>
      <c r="Y14" s="7"/>
      <c r="Z14" s="7"/>
      <c r="AA14" s="7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 spans="1:50" ht="51" x14ac:dyDescent="0.2">
      <c r="A15" s="8" t="s">
        <v>78</v>
      </c>
      <c r="B15" s="12" t="s">
        <v>102</v>
      </c>
      <c r="C15" s="12" t="s">
        <v>102</v>
      </c>
      <c r="D15" s="11">
        <v>279000</v>
      </c>
      <c r="E15" s="12" t="s">
        <v>20</v>
      </c>
      <c r="F15" s="12" t="s">
        <v>20</v>
      </c>
      <c r="G15" s="12" t="s">
        <v>79</v>
      </c>
      <c r="H15" s="12" t="s">
        <v>80</v>
      </c>
      <c r="I15" s="12" t="s">
        <v>81</v>
      </c>
      <c r="J15" s="12" t="s">
        <v>80</v>
      </c>
      <c r="K15" s="12">
        <v>16.93</v>
      </c>
      <c r="L15" s="11">
        <f t="shared" si="0"/>
        <v>16479.621972829296</v>
      </c>
      <c r="M15" s="12"/>
      <c r="N15" s="16" t="s">
        <v>153</v>
      </c>
      <c r="O15" s="12" t="s">
        <v>16</v>
      </c>
      <c r="P15" s="12" t="s">
        <v>82</v>
      </c>
      <c r="Q15" s="17">
        <v>0.3</v>
      </c>
      <c r="R15" s="12"/>
      <c r="S15" s="12"/>
      <c r="T15" s="18"/>
      <c r="U15" s="7"/>
      <c r="V15" s="7"/>
      <c r="W15" s="7"/>
      <c r="X15" s="7"/>
      <c r="Y15" s="7"/>
      <c r="Z15" s="7"/>
      <c r="AA15" s="7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spans="1:50" ht="34" x14ac:dyDescent="0.2">
      <c r="A16" s="8" t="s">
        <v>83</v>
      </c>
      <c r="B16" s="12" t="s">
        <v>102</v>
      </c>
      <c r="C16" s="12" t="s">
        <v>102</v>
      </c>
      <c r="D16" s="11">
        <v>249900</v>
      </c>
      <c r="E16" s="12" t="s">
        <v>84</v>
      </c>
      <c r="F16" s="12" t="s">
        <v>15</v>
      </c>
      <c r="G16" s="12" t="s">
        <v>85</v>
      </c>
      <c r="H16" s="12" t="s">
        <v>86</v>
      </c>
      <c r="I16" s="12" t="s">
        <v>87</v>
      </c>
      <c r="J16" s="16" t="s">
        <v>155</v>
      </c>
      <c r="K16" s="12">
        <v>5.6</v>
      </c>
      <c r="L16" s="11">
        <f t="shared" si="0"/>
        <v>44625</v>
      </c>
      <c r="M16" s="12"/>
      <c r="N16" s="12"/>
      <c r="O16" s="12" t="s">
        <v>16</v>
      </c>
      <c r="P16" s="12" t="s">
        <v>88</v>
      </c>
      <c r="Q16" s="17">
        <v>0.4</v>
      </c>
      <c r="R16" s="12" t="s">
        <v>89</v>
      </c>
      <c r="S16" s="12"/>
      <c r="T16" s="18"/>
      <c r="U16" s="7"/>
      <c r="V16" s="7"/>
      <c r="W16" s="7"/>
      <c r="X16" s="7"/>
      <c r="Y16" s="7"/>
      <c r="Z16" s="7"/>
      <c r="AA16" s="7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spans="1:50" ht="51" x14ac:dyDescent="0.2">
      <c r="A17" s="26" t="s">
        <v>90</v>
      </c>
      <c r="B17" s="27" t="s">
        <v>102</v>
      </c>
      <c r="C17" s="27" t="s">
        <v>102</v>
      </c>
      <c r="D17" s="11">
        <v>1500000</v>
      </c>
      <c r="E17" s="27" t="s">
        <v>91</v>
      </c>
      <c r="F17" s="27" t="s">
        <v>15</v>
      </c>
      <c r="G17" s="27" t="s">
        <v>92</v>
      </c>
      <c r="H17" s="27" t="s">
        <v>86</v>
      </c>
      <c r="I17" s="27" t="s">
        <v>92</v>
      </c>
      <c r="J17" s="27" t="s">
        <v>86</v>
      </c>
      <c r="K17" s="12">
        <v>47.7</v>
      </c>
      <c r="L17" s="11">
        <f t="shared" si="0"/>
        <v>31446.540880503144</v>
      </c>
      <c r="M17" s="12"/>
      <c r="N17" s="27" t="s">
        <v>93</v>
      </c>
      <c r="O17" s="29" t="s">
        <v>164</v>
      </c>
      <c r="P17" s="27" t="s">
        <v>94</v>
      </c>
      <c r="Q17" s="12"/>
      <c r="R17" s="12"/>
      <c r="S17" s="12"/>
      <c r="T17" s="20" t="s">
        <v>167</v>
      </c>
      <c r="U17" s="7"/>
      <c r="V17" s="7"/>
      <c r="W17" s="7"/>
      <c r="X17" s="7"/>
      <c r="Y17" s="7"/>
      <c r="Z17" s="7"/>
      <c r="AA17" s="7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 spans="1:50" x14ac:dyDescent="0.2">
      <c r="A18" s="26" t="s">
        <v>101</v>
      </c>
      <c r="B18" s="27" t="s">
        <v>102</v>
      </c>
      <c r="C18" s="27" t="s">
        <v>102</v>
      </c>
      <c r="D18" s="11">
        <v>235000</v>
      </c>
      <c r="E18" s="27" t="s">
        <v>103</v>
      </c>
      <c r="F18" s="27" t="s">
        <v>20</v>
      </c>
      <c r="G18" s="27" t="s">
        <v>104</v>
      </c>
      <c r="H18" s="27" t="s">
        <v>105</v>
      </c>
      <c r="I18" s="27" t="s">
        <v>106</v>
      </c>
      <c r="J18" s="12"/>
      <c r="K18" s="12">
        <v>5.47</v>
      </c>
      <c r="L18" s="11">
        <f t="shared" si="0"/>
        <v>42961.608775137116</v>
      </c>
      <c r="M18" s="12"/>
      <c r="N18" s="12"/>
      <c r="O18" s="27" t="s">
        <v>107</v>
      </c>
      <c r="P18" s="27" t="s">
        <v>108</v>
      </c>
      <c r="Q18" s="12"/>
      <c r="R18" s="12"/>
      <c r="S18" s="12"/>
      <c r="T18" s="28" t="s">
        <v>139</v>
      </c>
      <c r="U18" s="7"/>
      <c r="V18" s="7"/>
      <c r="W18" s="7"/>
      <c r="X18" s="7"/>
      <c r="Y18" s="7"/>
      <c r="Z18" s="7"/>
      <c r="AA18" s="7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spans="1:50" ht="34" x14ac:dyDescent="0.2">
      <c r="A19" s="26" t="s">
        <v>109</v>
      </c>
      <c r="B19" s="27" t="s">
        <v>102</v>
      </c>
      <c r="C19" s="27" t="s">
        <v>102</v>
      </c>
      <c r="D19" s="11">
        <v>900000</v>
      </c>
      <c r="E19" s="27" t="s">
        <v>110</v>
      </c>
      <c r="F19" s="27" t="s">
        <v>23</v>
      </c>
      <c r="G19" s="27" t="s">
        <v>111</v>
      </c>
      <c r="H19" s="12"/>
      <c r="I19" s="12"/>
      <c r="J19" s="27" t="s">
        <v>57</v>
      </c>
      <c r="K19" s="12">
        <v>18.8</v>
      </c>
      <c r="L19" s="11">
        <f t="shared" si="0"/>
        <v>47872.340425531911</v>
      </c>
      <c r="M19" s="12"/>
      <c r="N19" s="12"/>
      <c r="O19" s="27" t="s">
        <v>16</v>
      </c>
      <c r="P19" s="12"/>
      <c r="Q19" s="12"/>
      <c r="R19" s="12"/>
      <c r="S19" s="12"/>
      <c r="T19" s="31" t="s">
        <v>156</v>
      </c>
      <c r="U19" s="7"/>
      <c r="V19" s="7"/>
      <c r="W19" s="7"/>
      <c r="X19" s="7"/>
      <c r="Y19" s="7"/>
      <c r="Z19" s="7"/>
      <c r="AA19" s="7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 spans="1:50" ht="34" x14ac:dyDescent="0.2">
      <c r="A20" s="8" t="s">
        <v>112</v>
      </c>
      <c r="B20" s="12" t="s">
        <v>102</v>
      </c>
      <c r="C20" s="12" t="s">
        <v>102</v>
      </c>
      <c r="D20" s="11">
        <v>1260000</v>
      </c>
      <c r="E20" s="12" t="s">
        <v>113</v>
      </c>
      <c r="F20" s="12" t="s">
        <v>15</v>
      </c>
      <c r="G20" s="12" t="s">
        <v>114</v>
      </c>
      <c r="H20" s="16" t="s">
        <v>144</v>
      </c>
      <c r="I20" s="12" t="s">
        <v>115</v>
      </c>
      <c r="J20" s="12" t="s">
        <v>116</v>
      </c>
      <c r="K20" s="12">
        <v>15.76</v>
      </c>
      <c r="L20" s="11">
        <f t="shared" si="0"/>
        <v>79949.238578680204</v>
      </c>
      <c r="M20" s="12"/>
      <c r="N20" s="12"/>
      <c r="O20" s="12" t="s">
        <v>117</v>
      </c>
      <c r="P20" s="12"/>
      <c r="Q20" s="12"/>
      <c r="R20" s="12"/>
      <c r="S20" s="12"/>
      <c r="T20" s="21" t="s">
        <v>157</v>
      </c>
      <c r="U20" s="7"/>
      <c r="V20" s="7"/>
      <c r="W20" s="7"/>
      <c r="X20" s="7"/>
      <c r="Y20" s="7"/>
      <c r="Z20" s="7"/>
      <c r="AA20" s="7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spans="1:50" ht="34" x14ac:dyDescent="0.2">
      <c r="A21" s="8" t="s">
        <v>118</v>
      </c>
      <c r="B21" s="12" t="s">
        <v>102</v>
      </c>
      <c r="C21" s="12" t="s">
        <v>102</v>
      </c>
      <c r="D21" s="22">
        <v>1450000</v>
      </c>
      <c r="E21" s="12" t="s">
        <v>19</v>
      </c>
      <c r="F21" s="12" t="s">
        <v>20</v>
      </c>
      <c r="G21" s="12" t="s">
        <v>18</v>
      </c>
      <c r="H21" s="12" t="s">
        <v>119</v>
      </c>
      <c r="I21" s="12" t="s">
        <v>120</v>
      </c>
      <c r="J21" s="12"/>
      <c r="K21" s="12">
        <v>12.04</v>
      </c>
      <c r="L21" s="22">
        <f t="shared" si="0"/>
        <v>120431.89368770765</v>
      </c>
      <c r="M21" s="12"/>
      <c r="N21" s="16" t="s">
        <v>158</v>
      </c>
      <c r="O21" s="12" t="s">
        <v>16</v>
      </c>
      <c r="P21" s="12" t="s">
        <v>119</v>
      </c>
      <c r="Q21" s="12" t="s">
        <v>119</v>
      </c>
      <c r="R21" s="12" t="s">
        <v>119</v>
      </c>
      <c r="S21" s="12" t="s">
        <v>119</v>
      </c>
      <c r="T21" s="18" t="s">
        <v>140</v>
      </c>
      <c r="U21" s="7"/>
      <c r="V21" s="7"/>
      <c r="W21" s="7"/>
      <c r="X21" s="7"/>
      <c r="Y21" s="7"/>
      <c r="Z21" s="7"/>
      <c r="AA21" s="7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 spans="1:50" x14ac:dyDescent="0.2">
      <c r="A22" s="8" t="s">
        <v>121</v>
      </c>
      <c r="B22" s="12" t="s">
        <v>102</v>
      </c>
      <c r="C22" s="12" t="s">
        <v>102</v>
      </c>
      <c r="D22" s="11">
        <v>379000</v>
      </c>
      <c r="E22" s="12" t="s">
        <v>159</v>
      </c>
      <c r="F22" s="12" t="s">
        <v>20</v>
      </c>
      <c r="G22" s="12" t="s">
        <v>122</v>
      </c>
      <c r="H22" s="12" t="s">
        <v>123</v>
      </c>
      <c r="I22" s="12"/>
      <c r="J22" s="12"/>
      <c r="K22" s="12">
        <v>18</v>
      </c>
      <c r="L22" s="11">
        <f t="shared" si="0"/>
        <v>21055.555555555555</v>
      </c>
      <c r="M22" s="12"/>
      <c r="N22" s="12" t="s">
        <v>93</v>
      </c>
      <c r="O22" s="12" t="s">
        <v>16</v>
      </c>
      <c r="P22" s="23" t="s">
        <v>124</v>
      </c>
      <c r="Q22" s="17">
        <v>0.2</v>
      </c>
      <c r="R22" s="12"/>
      <c r="S22" s="12"/>
      <c r="T22" s="18" t="s">
        <v>125</v>
      </c>
      <c r="U22" s="7"/>
      <c r="V22" s="7"/>
      <c r="W22" s="7"/>
      <c r="X22" s="7"/>
      <c r="Y22" s="7"/>
      <c r="Z22" s="7"/>
      <c r="AA22" s="7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spans="1:50" ht="34" x14ac:dyDescent="0.2">
      <c r="A23" s="8" t="s">
        <v>126</v>
      </c>
      <c r="B23" s="12" t="s">
        <v>102</v>
      </c>
      <c r="C23" s="12" t="s">
        <v>102</v>
      </c>
      <c r="D23" s="11">
        <v>275000</v>
      </c>
      <c r="E23" s="12" t="s">
        <v>60</v>
      </c>
      <c r="F23" s="12" t="s">
        <v>15</v>
      </c>
      <c r="G23" s="12" t="s">
        <v>127</v>
      </c>
      <c r="H23" s="12" t="s">
        <v>61</v>
      </c>
      <c r="I23" s="12" t="s">
        <v>128</v>
      </c>
      <c r="J23" s="12"/>
      <c r="K23" s="12">
        <v>3</v>
      </c>
      <c r="L23" s="11">
        <f t="shared" si="0"/>
        <v>91666.666666666672</v>
      </c>
      <c r="M23" s="12"/>
      <c r="N23" s="16" t="s">
        <v>158</v>
      </c>
      <c r="O23" s="12" t="s">
        <v>16</v>
      </c>
      <c r="P23" s="12" t="s">
        <v>129</v>
      </c>
      <c r="Q23" s="17">
        <v>0.35</v>
      </c>
      <c r="R23" s="12" t="s">
        <v>130</v>
      </c>
      <c r="S23" s="12"/>
      <c r="T23" s="18" t="s">
        <v>131</v>
      </c>
      <c r="U23" s="7"/>
      <c r="V23" s="7"/>
      <c r="W23" s="7"/>
      <c r="X23" s="7"/>
      <c r="Y23" s="7"/>
      <c r="Z23" s="7"/>
      <c r="AA23" s="7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spans="1:50" x14ac:dyDescent="0.2">
      <c r="A24" s="8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spans="1:50" x14ac:dyDescent="0.2">
      <c r="A25" s="8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spans="1:50" x14ac:dyDescent="0.2">
      <c r="A26" s="8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spans="1:50" ht="17" x14ac:dyDescent="0.2">
      <c r="A27" s="32" t="s">
        <v>96</v>
      </c>
      <c r="B27" s="32" t="s">
        <v>95</v>
      </c>
      <c r="C27" s="33" t="s">
        <v>2</v>
      </c>
      <c r="D27" s="33" t="s">
        <v>3</v>
      </c>
      <c r="E27" s="33" t="s">
        <v>97</v>
      </c>
      <c r="F27" s="33" t="s">
        <v>1</v>
      </c>
      <c r="G27" s="33" t="s">
        <v>98</v>
      </c>
      <c r="H27" s="12"/>
      <c r="I27" s="13"/>
      <c r="J27" s="12"/>
      <c r="K27" s="33" t="s">
        <v>99</v>
      </c>
      <c r="L27" s="12"/>
      <c r="M27" s="12"/>
      <c r="N27" s="12"/>
      <c r="O27" s="12"/>
      <c r="P27" s="12"/>
      <c r="Q27" s="8"/>
      <c r="R27" s="8"/>
      <c r="S27" s="8"/>
      <c r="T27" s="32" t="s">
        <v>13</v>
      </c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spans="1:50" ht="20" customHeight="1" x14ac:dyDescent="0.2">
      <c r="A28" s="34" t="s">
        <v>26</v>
      </c>
      <c r="B28" s="24" t="s">
        <v>27</v>
      </c>
      <c r="C28" s="12" t="s">
        <v>23</v>
      </c>
      <c r="D28" s="35" t="s">
        <v>23</v>
      </c>
      <c r="E28" s="35">
        <v>9.85</v>
      </c>
      <c r="F28" s="36">
        <v>72000</v>
      </c>
      <c r="G28" s="36">
        <v>7310</v>
      </c>
      <c r="H28" s="12"/>
      <c r="I28" s="12"/>
      <c r="J28" s="12"/>
      <c r="K28" s="12"/>
      <c r="L28" s="12"/>
      <c r="M28" s="12"/>
      <c r="N28" s="12"/>
      <c r="O28" s="12"/>
      <c r="P28" s="12"/>
      <c r="Q28" s="8"/>
      <c r="R28" s="8"/>
      <c r="S28" s="8"/>
      <c r="T28" s="5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spans="1:50" ht="20" customHeight="1" x14ac:dyDescent="0.2">
      <c r="A29" s="34" t="s">
        <v>29</v>
      </c>
      <c r="B29" s="25" t="s">
        <v>30</v>
      </c>
      <c r="C29" s="12" t="s">
        <v>31</v>
      </c>
      <c r="D29" s="35" t="s">
        <v>23</v>
      </c>
      <c r="E29" s="35">
        <v>8.15</v>
      </c>
      <c r="F29" s="36">
        <v>350000</v>
      </c>
      <c r="G29" s="36">
        <v>42945</v>
      </c>
      <c r="H29" s="12"/>
      <c r="I29" s="12"/>
      <c r="J29" s="12"/>
      <c r="K29" s="35" t="s">
        <v>28</v>
      </c>
      <c r="L29" s="12"/>
      <c r="M29" s="12"/>
      <c r="N29" s="12"/>
      <c r="O29" s="12"/>
      <c r="P29" s="12"/>
      <c r="Q29" s="8"/>
      <c r="R29" s="8"/>
      <c r="S29" s="8"/>
      <c r="T29" s="6" t="s">
        <v>32</v>
      </c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spans="1:50" ht="20" customHeight="1" x14ac:dyDescent="0.2">
      <c r="A30" s="34" t="s">
        <v>33</v>
      </c>
      <c r="B30" s="25" t="s">
        <v>34</v>
      </c>
      <c r="C30" s="12" t="s">
        <v>14</v>
      </c>
      <c r="D30" s="35" t="s">
        <v>15</v>
      </c>
      <c r="E30" s="35">
        <v>6.7</v>
      </c>
      <c r="F30" s="36">
        <v>199000</v>
      </c>
      <c r="G30" s="37">
        <v>29701.49</v>
      </c>
      <c r="H30" s="12"/>
      <c r="I30" s="12"/>
      <c r="J30" s="12"/>
      <c r="K30" s="35"/>
      <c r="L30" s="12"/>
      <c r="M30" s="12"/>
      <c r="N30" s="12"/>
      <c r="O30" s="12"/>
      <c r="P30" s="12"/>
      <c r="Q30" s="8"/>
      <c r="R30" s="8"/>
      <c r="S30" s="8"/>
      <c r="T30" s="6" t="s">
        <v>35</v>
      </c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spans="1:50" ht="20" customHeight="1" x14ac:dyDescent="0.2">
      <c r="A31" s="34" t="s">
        <v>36</v>
      </c>
      <c r="B31" s="25" t="s">
        <v>37</v>
      </c>
      <c r="C31" s="12" t="s">
        <v>24</v>
      </c>
      <c r="D31" s="35" t="s">
        <v>25</v>
      </c>
      <c r="E31" s="35">
        <v>10.76</v>
      </c>
      <c r="F31" s="36">
        <v>500000</v>
      </c>
      <c r="G31" s="37">
        <v>46468.4</v>
      </c>
      <c r="H31" s="12"/>
      <c r="I31" s="12"/>
      <c r="J31" s="12"/>
      <c r="K31" s="35"/>
      <c r="L31" s="12"/>
      <c r="M31" s="12"/>
      <c r="N31" s="12"/>
      <c r="O31" s="12"/>
      <c r="P31" s="12"/>
      <c r="Q31" s="8"/>
      <c r="R31" s="8"/>
      <c r="S31" s="8"/>
      <c r="T31" s="6" t="s">
        <v>38</v>
      </c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 spans="1:50" ht="20" customHeight="1" x14ac:dyDescent="0.2">
      <c r="A32" s="34" t="s">
        <v>39</v>
      </c>
      <c r="B32" s="25" t="s">
        <v>40</v>
      </c>
      <c r="C32" s="12" t="s">
        <v>22</v>
      </c>
      <c r="D32" s="35" t="s">
        <v>41</v>
      </c>
      <c r="E32" s="35">
        <v>8.5</v>
      </c>
      <c r="F32" s="36">
        <v>65000</v>
      </c>
      <c r="G32" s="36">
        <v>7647</v>
      </c>
      <c r="H32" s="12"/>
      <c r="I32" s="12"/>
      <c r="J32" s="12"/>
      <c r="K32" s="35"/>
      <c r="L32" s="12"/>
      <c r="M32" s="12"/>
      <c r="N32" s="12"/>
      <c r="O32" s="12"/>
      <c r="P32" s="12"/>
      <c r="Q32" s="8"/>
      <c r="R32" s="8"/>
      <c r="S32" s="8"/>
      <c r="T32" s="5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spans="1:50" x14ac:dyDescent="0.2">
      <c r="A33" s="8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</row>
    <row r="34" spans="1:50" x14ac:dyDescent="0.2">
      <c r="A34" s="8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spans="1:50" x14ac:dyDescent="0.2">
      <c r="A35" s="8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</row>
    <row r="36" spans="1:50" x14ac:dyDescent="0.2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spans="1:50" x14ac:dyDescent="0.2">
      <c r="A37" s="8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</row>
    <row r="38" spans="1:50" x14ac:dyDescent="0.2">
      <c r="A38" s="8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 spans="1:50" x14ac:dyDescent="0.2">
      <c r="A39" s="8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 spans="1:50" x14ac:dyDescent="0.2">
      <c r="A40" s="8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 spans="1:50" x14ac:dyDescent="0.2">
      <c r="N41" s="12"/>
      <c r="O41" s="12"/>
      <c r="P41" s="12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</row>
    <row r="42" spans="1:50" ht="20" customHeight="1" x14ac:dyDescent="0.2">
      <c r="N42" s="12"/>
      <c r="O42" s="12"/>
      <c r="P42" s="12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spans="1:50" ht="20" customHeight="1" x14ac:dyDescent="0.2">
      <c r="N43" s="12"/>
      <c r="O43" s="12"/>
      <c r="P43" s="12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 spans="1:50" ht="20" customHeight="1" x14ac:dyDescent="0.2">
      <c r="N44" s="12"/>
      <c r="O44" s="12"/>
      <c r="P44" s="12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 spans="1:50" ht="20" customHeight="1" x14ac:dyDescent="0.2">
      <c r="N45" s="12"/>
      <c r="O45" s="12"/>
      <c r="P45" s="12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</row>
    <row r="46" spans="1:50" ht="20" customHeight="1" x14ac:dyDescent="0.2">
      <c r="N46" s="12"/>
      <c r="O46" s="12"/>
      <c r="P46" s="12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</row>
    <row r="47" spans="1:50" x14ac:dyDescent="0.2">
      <c r="A47" s="8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</row>
    <row r="48" spans="1:50" x14ac:dyDescent="0.2">
      <c r="A48" s="8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 spans="1:50" x14ac:dyDescent="0.2">
      <c r="A49" s="8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</row>
    <row r="50" spans="1:50" x14ac:dyDescent="0.2">
      <c r="A50" s="8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  <row r="51" spans="1:50" x14ac:dyDescent="0.2">
      <c r="A51" s="8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</row>
    <row r="52" spans="1:50" x14ac:dyDescent="0.2">
      <c r="A52" s="8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</row>
    <row r="53" spans="1:50" x14ac:dyDescent="0.2">
      <c r="A53" s="8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x14ac:dyDescent="0.2">
      <c r="A54" s="8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x14ac:dyDescent="0.2">
      <c r="A55" s="8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x14ac:dyDescent="0.2">
      <c r="A56" s="8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x14ac:dyDescent="0.2">
      <c r="A57" s="8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x14ac:dyDescent="0.2">
      <c r="A58" s="8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x14ac:dyDescent="0.2">
      <c r="A59" s="8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x14ac:dyDescent="0.2">
      <c r="A60" s="8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  <row r="61" spans="1:50" x14ac:dyDescent="0.2">
      <c r="A61" s="8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</row>
    <row r="62" spans="1:50" x14ac:dyDescent="0.2">
      <c r="A62" s="8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</row>
    <row r="63" spans="1:50" x14ac:dyDescent="0.2">
      <c r="A63" s="8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</row>
    <row r="64" spans="1:50" x14ac:dyDescent="0.2">
      <c r="A64" s="8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spans="1:50" x14ac:dyDescent="0.2">
      <c r="A65" s="8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 spans="1:50" x14ac:dyDescent="0.2">
      <c r="A66" s="8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 spans="1:50" x14ac:dyDescent="0.2">
      <c r="A67" s="8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</row>
    <row r="68" spans="1:50" x14ac:dyDescent="0.2">
      <c r="A68" s="8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 spans="1:50" x14ac:dyDescent="0.2">
      <c r="A69" s="8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</row>
    <row r="70" spans="1:50" x14ac:dyDescent="0.2">
      <c r="A70" s="8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</row>
    <row r="71" spans="1:50" x14ac:dyDescent="0.2">
      <c r="A71" s="8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</row>
    <row r="72" spans="1:50" x14ac:dyDescent="0.2">
      <c r="A72" s="8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</row>
    <row r="73" spans="1:50" x14ac:dyDescent="0.2">
      <c r="A73" s="8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</row>
    <row r="74" spans="1:50" x14ac:dyDescent="0.2">
      <c r="A74" s="8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</row>
    <row r="75" spans="1:50" x14ac:dyDescent="0.2">
      <c r="A75" s="8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</row>
    <row r="76" spans="1:50" x14ac:dyDescent="0.2">
      <c r="A76" s="8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 spans="1:50" x14ac:dyDescent="0.2">
      <c r="A77" s="8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</row>
    <row r="78" spans="1:50" x14ac:dyDescent="0.2">
      <c r="A78" s="8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 spans="1:50" x14ac:dyDescent="0.2">
      <c r="A79" s="8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</row>
    <row r="80" spans="1:50" x14ac:dyDescent="0.2">
      <c r="A80" s="8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</row>
    <row r="81" spans="1:50" x14ac:dyDescent="0.2">
      <c r="A81" s="8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</row>
    <row r="82" spans="1:50" x14ac:dyDescent="0.2">
      <c r="A82" s="8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 spans="1:50" x14ac:dyDescent="0.2">
      <c r="A83" s="8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</row>
    <row r="84" spans="1:50" x14ac:dyDescent="0.2">
      <c r="A84" s="8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 spans="1:50" x14ac:dyDescent="0.2">
      <c r="A85" s="8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</row>
    <row r="86" spans="1:50" x14ac:dyDescent="0.2">
      <c r="A86" s="8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</row>
    <row r="87" spans="1:50" x14ac:dyDescent="0.2">
      <c r="A87" s="8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</row>
    <row r="88" spans="1:50" x14ac:dyDescent="0.2">
      <c r="A88" s="8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</row>
    <row r="89" spans="1:50" x14ac:dyDescent="0.2">
      <c r="A89" s="8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</row>
    <row r="90" spans="1:50" x14ac:dyDescent="0.2">
      <c r="A90" s="8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</row>
    <row r="91" spans="1:50" x14ac:dyDescent="0.2">
      <c r="A91" s="8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</row>
    <row r="92" spans="1:50" x14ac:dyDescent="0.2">
      <c r="A92" s="8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</row>
    <row r="93" spans="1:50" x14ac:dyDescent="0.2">
      <c r="A93" s="8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</row>
    <row r="94" spans="1:50" x14ac:dyDescent="0.2">
      <c r="A94" s="8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</row>
    <row r="95" spans="1:50" x14ac:dyDescent="0.2">
      <c r="A95" s="8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</row>
    <row r="96" spans="1:50" x14ac:dyDescent="0.2">
      <c r="A96" s="8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</row>
    <row r="97" spans="1:50" x14ac:dyDescent="0.2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</row>
    <row r="98" spans="1:50" x14ac:dyDescent="0.2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</row>
    <row r="99" spans="1:50" x14ac:dyDescent="0.2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</row>
    <row r="100" spans="1:50" x14ac:dyDescent="0.2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</row>
    <row r="101" spans="1:50" x14ac:dyDescent="0.2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</row>
    <row r="102" spans="1:50" x14ac:dyDescent="0.2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</row>
    <row r="103" spans="1:50" x14ac:dyDescent="0.2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</row>
    <row r="104" spans="1:50" x14ac:dyDescent="0.2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</row>
    <row r="105" spans="1:50" x14ac:dyDescent="0.2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</row>
    <row r="106" spans="1:50" x14ac:dyDescent="0.2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</row>
    <row r="107" spans="1:50" x14ac:dyDescent="0.2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</row>
    <row r="108" spans="1:50" x14ac:dyDescent="0.2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</row>
    <row r="109" spans="1:50" x14ac:dyDescent="0.2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</row>
    <row r="110" spans="1:50" x14ac:dyDescent="0.2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</row>
    <row r="111" spans="1:50" x14ac:dyDescent="0.2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</row>
    <row r="112" spans="1:50" x14ac:dyDescent="0.2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</row>
    <row r="113" spans="1:50" x14ac:dyDescent="0.2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</row>
    <row r="114" spans="1:50" x14ac:dyDescent="0.2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</row>
    <row r="115" spans="1:50" x14ac:dyDescent="0.2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</row>
    <row r="116" spans="1:50" x14ac:dyDescent="0.2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</row>
    <row r="117" spans="1:50" x14ac:dyDescent="0.2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</row>
    <row r="118" spans="1:50" x14ac:dyDescent="0.2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</row>
    <row r="119" spans="1:50" x14ac:dyDescent="0.2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</row>
    <row r="120" spans="1:50" x14ac:dyDescent="0.2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</row>
    <row r="121" spans="1:50" x14ac:dyDescent="0.2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</row>
    <row r="122" spans="1:50" x14ac:dyDescent="0.2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</row>
    <row r="123" spans="1:50" x14ac:dyDescent="0.2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</row>
    <row r="124" spans="1:50" x14ac:dyDescent="0.2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</row>
    <row r="125" spans="1:50" x14ac:dyDescent="0.2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</row>
    <row r="126" spans="1:50" x14ac:dyDescent="0.2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</row>
    <row r="127" spans="1:50" x14ac:dyDescent="0.2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</row>
    <row r="128" spans="1:50" x14ac:dyDescent="0.2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</row>
    <row r="129" spans="1:50" x14ac:dyDescent="0.2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</row>
    <row r="130" spans="1:50" x14ac:dyDescent="0.2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</row>
    <row r="131" spans="1:50" x14ac:dyDescent="0.2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</row>
    <row r="132" spans="1:50" x14ac:dyDescent="0.2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</row>
    <row r="133" spans="1:50" x14ac:dyDescent="0.2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</row>
    <row r="134" spans="1:50" x14ac:dyDescent="0.2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</row>
    <row r="135" spans="1:50" x14ac:dyDescent="0.2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</row>
    <row r="136" spans="1:50" x14ac:dyDescent="0.2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</row>
    <row r="137" spans="1:50" x14ac:dyDescent="0.2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</row>
    <row r="138" spans="1:50" x14ac:dyDescent="0.2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</row>
    <row r="139" spans="1:50" x14ac:dyDescent="0.2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</row>
    <row r="140" spans="1:50" x14ac:dyDescent="0.2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</row>
    <row r="141" spans="1:50" x14ac:dyDescent="0.2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</row>
    <row r="142" spans="1:50" x14ac:dyDescent="0.2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</row>
    <row r="143" spans="1:50" x14ac:dyDescent="0.2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</row>
    <row r="144" spans="1:50" x14ac:dyDescent="0.2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</row>
    <row r="145" spans="1:50" x14ac:dyDescent="0.2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</row>
    <row r="146" spans="1:50" x14ac:dyDescent="0.2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</row>
    <row r="147" spans="1:50" x14ac:dyDescent="0.2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</row>
    <row r="148" spans="1:50" x14ac:dyDescent="0.2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</row>
    <row r="149" spans="1:50" x14ac:dyDescent="0.2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</row>
    <row r="150" spans="1:50" x14ac:dyDescent="0.2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</row>
    <row r="151" spans="1:50" x14ac:dyDescent="0.2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</row>
    <row r="152" spans="1:50" x14ac:dyDescent="0.2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</row>
    <row r="153" spans="1:50" x14ac:dyDescent="0.2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</row>
    <row r="154" spans="1:50" x14ac:dyDescent="0.2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</row>
    <row r="155" spans="1:50" x14ac:dyDescent="0.2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</row>
    <row r="156" spans="1:50" x14ac:dyDescent="0.2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</row>
    <row r="157" spans="1:50" x14ac:dyDescent="0.2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</row>
    <row r="158" spans="1:50" x14ac:dyDescent="0.2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</row>
    <row r="159" spans="1:50" x14ac:dyDescent="0.2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</row>
    <row r="160" spans="1:50" x14ac:dyDescent="0.2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</row>
    <row r="161" spans="1:50" x14ac:dyDescent="0.2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</row>
    <row r="162" spans="1:50" x14ac:dyDescent="0.2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</row>
    <row r="163" spans="1:50" x14ac:dyDescent="0.2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</row>
    <row r="164" spans="1:50" x14ac:dyDescent="0.2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</row>
    <row r="165" spans="1:50" x14ac:dyDescent="0.2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</row>
    <row r="166" spans="1:50" x14ac:dyDescent="0.2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</row>
    <row r="167" spans="1:50" x14ac:dyDescent="0.2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</row>
    <row r="168" spans="1:50" x14ac:dyDescent="0.2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</row>
    <row r="169" spans="1:50" x14ac:dyDescent="0.2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</row>
    <row r="170" spans="1:50" x14ac:dyDescent="0.2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</row>
    <row r="171" spans="1:50" x14ac:dyDescent="0.2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</row>
    <row r="172" spans="1:50" x14ac:dyDescent="0.2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</row>
    <row r="173" spans="1:50" x14ac:dyDescent="0.2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</row>
    <row r="174" spans="1:50" x14ac:dyDescent="0.2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</row>
    <row r="175" spans="1:50" x14ac:dyDescent="0.2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</row>
    <row r="176" spans="1:50" x14ac:dyDescent="0.2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</row>
    <row r="177" spans="1:50" x14ac:dyDescent="0.2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</row>
    <row r="178" spans="1:50" x14ac:dyDescent="0.2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</row>
    <row r="179" spans="1:50" x14ac:dyDescent="0.2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</row>
    <row r="180" spans="1:50" x14ac:dyDescent="0.2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</row>
    <row r="181" spans="1:50" x14ac:dyDescent="0.2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</row>
    <row r="182" spans="1:50" x14ac:dyDescent="0.2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</row>
    <row r="183" spans="1:50" x14ac:dyDescent="0.2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</row>
    <row r="184" spans="1:50" x14ac:dyDescent="0.2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</row>
    <row r="185" spans="1:50" x14ac:dyDescent="0.2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</row>
    <row r="186" spans="1:50" x14ac:dyDescent="0.2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</row>
    <row r="187" spans="1:50" x14ac:dyDescent="0.2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</row>
    <row r="188" spans="1:50" x14ac:dyDescent="0.2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</row>
    <row r="189" spans="1:50" x14ac:dyDescent="0.2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</row>
    <row r="190" spans="1:50" x14ac:dyDescent="0.2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</row>
    <row r="191" spans="1:50" x14ac:dyDescent="0.2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</row>
    <row r="192" spans="1:50" x14ac:dyDescent="0.2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</row>
    <row r="193" spans="1:50" x14ac:dyDescent="0.2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</row>
    <row r="194" spans="1:50" x14ac:dyDescent="0.2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</row>
    <row r="195" spans="1:50" x14ac:dyDescent="0.2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</row>
    <row r="196" spans="1:50" x14ac:dyDescent="0.2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</row>
    <row r="197" spans="1:50" x14ac:dyDescent="0.2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</row>
    <row r="198" spans="1:50" x14ac:dyDescent="0.2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</row>
    <row r="199" spans="1:50" x14ac:dyDescent="0.2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</row>
    <row r="200" spans="1:50" x14ac:dyDescent="0.2">
      <c r="A200" s="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</row>
    <row r="201" spans="1:50" x14ac:dyDescent="0.2">
      <c r="A201" s="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</row>
    <row r="202" spans="1:50" x14ac:dyDescent="0.2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</row>
    <row r="203" spans="1:50" x14ac:dyDescent="0.2">
      <c r="A203" s="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</row>
    <row r="204" spans="1:50" x14ac:dyDescent="0.2">
      <c r="A204" s="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</row>
    <row r="205" spans="1:50" x14ac:dyDescent="0.2">
      <c r="A205" s="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</row>
    <row r="206" spans="1:50" x14ac:dyDescent="0.2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</row>
    <row r="207" spans="1:50" x14ac:dyDescent="0.2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</row>
    <row r="208" spans="1:50" x14ac:dyDescent="0.2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</row>
    <row r="209" spans="1:50" x14ac:dyDescent="0.2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</row>
    <row r="210" spans="1:50" x14ac:dyDescent="0.2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</row>
    <row r="211" spans="1:50" x14ac:dyDescent="0.2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</row>
    <row r="212" spans="1:50" x14ac:dyDescent="0.2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</row>
    <row r="213" spans="1:50" x14ac:dyDescent="0.2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</row>
    <row r="214" spans="1:50" x14ac:dyDescent="0.2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</row>
    <row r="215" spans="1:50" x14ac:dyDescent="0.2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</row>
    <row r="216" spans="1:50" x14ac:dyDescent="0.2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</row>
    <row r="217" spans="1:50" x14ac:dyDescent="0.2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</row>
    <row r="218" spans="1:50" x14ac:dyDescent="0.2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</row>
    <row r="219" spans="1:50" x14ac:dyDescent="0.2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</row>
    <row r="220" spans="1:50" x14ac:dyDescent="0.2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</row>
    <row r="221" spans="1:50" x14ac:dyDescent="0.2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</row>
    <row r="222" spans="1:50" x14ac:dyDescent="0.2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</row>
    <row r="223" spans="1:50" x14ac:dyDescent="0.2">
      <c r="A223" s="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</row>
    <row r="224" spans="1:50" x14ac:dyDescent="0.2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</row>
    <row r="225" spans="1:50" x14ac:dyDescent="0.2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</row>
    <row r="226" spans="1:50" x14ac:dyDescent="0.2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</row>
    <row r="227" spans="1:50" x14ac:dyDescent="0.2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</row>
    <row r="228" spans="1:50" x14ac:dyDescent="0.2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</row>
    <row r="229" spans="1:50" x14ac:dyDescent="0.2">
      <c r="A229" s="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</row>
    <row r="230" spans="1:50" x14ac:dyDescent="0.2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</row>
    <row r="231" spans="1:50" x14ac:dyDescent="0.2">
      <c r="A231" s="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</row>
    <row r="232" spans="1:50" x14ac:dyDescent="0.2">
      <c r="A232" s="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</row>
    <row r="233" spans="1:50" x14ac:dyDescent="0.2">
      <c r="A233" s="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</row>
    <row r="234" spans="1:50" x14ac:dyDescent="0.2">
      <c r="A234" s="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</row>
    <row r="235" spans="1:50" x14ac:dyDescent="0.2">
      <c r="A235" s="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</row>
    <row r="236" spans="1:50" x14ac:dyDescent="0.2">
      <c r="A236" s="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</row>
    <row r="237" spans="1:50" x14ac:dyDescent="0.2">
      <c r="A237" s="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</row>
    <row r="238" spans="1:50" x14ac:dyDescent="0.2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</row>
    <row r="239" spans="1:50" x14ac:dyDescent="0.2">
      <c r="A239" s="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</row>
    <row r="240" spans="1:50" x14ac:dyDescent="0.2">
      <c r="A240" s="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</row>
    <row r="241" spans="1:50" x14ac:dyDescent="0.2">
      <c r="A241" s="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</row>
    <row r="242" spans="1:50" x14ac:dyDescent="0.2">
      <c r="A242" s="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</row>
    <row r="243" spans="1:50" x14ac:dyDescent="0.2">
      <c r="A243" s="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</row>
    <row r="244" spans="1:50" x14ac:dyDescent="0.2">
      <c r="A244" s="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</row>
    <row r="245" spans="1:50" x14ac:dyDescent="0.2">
      <c r="A245" s="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</row>
    <row r="246" spans="1:50" x14ac:dyDescent="0.2">
      <c r="A246" s="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</row>
    <row r="247" spans="1:50" x14ac:dyDescent="0.2">
      <c r="A247" s="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</row>
    <row r="248" spans="1:50" x14ac:dyDescent="0.2">
      <c r="A248" s="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</row>
    <row r="249" spans="1:50" x14ac:dyDescent="0.2">
      <c r="A249" s="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</row>
    <row r="250" spans="1:50" x14ac:dyDescent="0.2">
      <c r="A250" s="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</row>
    <row r="251" spans="1:50" x14ac:dyDescent="0.2">
      <c r="A251" s="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</row>
    <row r="252" spans="1:50" x14ac:dyDescent="0.2">
      <c r="A252" s="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</row>
    <row r="253" spans="1:50" x14ac:dyDescent="0.2">
      <c r="A253" s="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</row>
    <row r="254" spans="1:50" x14ac:dyDescent="0.2">
      <c r="A254" s="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</row>
    <row r="255" spans="1:50" x14ac:dyDescent="0.2">
      <c r="A255" s="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</row>
    <row r="256" spans="1:50" x14ac:dyDescent="0.2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</row>
    <row r="257" spans="1:50" x14ac:dyDescent="0.2">
      <c r="A257" s="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</row>
    <row r="258" spans="1:50" x14ac:dyDescent="0.2">
      <c r="A258" s="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</row>
    <row r="259" spans="1:50" x14ac:dyDescent="0.2">
      <c r="A259" s="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</row>
    <row r="260" spans="1:50" x14ac:dyDescent="0.2">
      <c r="A260" s="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</row>
    <row r="261" spans="1:50" x14ac:dyDescent="0.2">
      <c r="A261" s="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</row>
    <row r="262" spans="1:50" x14ac:dyDescent="0.2">
      <c r="A262" s="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</row>
    <row r="263" spans="1:50" x14ac:dyDescent="0.2">
      <c r="A263" s="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</row>
    <row r="264" spans="1:50" x14ac:dyDescent="0.2">
      <c r="A264" s="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</row>
    <row r="265" spans="1:50" x14ac:dyDescent="0.2">
      <c r="A265" s="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</row>
    <row r="266" spans="1:50" x14ac:dyDescent="0.2">
      <c r="A266" s="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</row>
    <row r="267" spans="1:50" x14ac:dyDescent="0.2">
      <c r="A267" s="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</row>
    <row r="268" spans="1:50" x14ac:dyDescent="0.2">
      <c r="A268" s="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</row>
    <row r="269" spans="1:50" x14ac:dyDescent="0.2">
      <c r="A269" s="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</row>
    <row r="270" spans="1:50" x14ac:dyDescent="0.2">
      <c r="A270" s="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</row>
    <row r="271" spans="1:50" x14ac:dyDescent="0.2">
      <c r="A271" s="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</row>
    <row r="272" spans="1:50" x14ac:dyDescent="0.2">
      <c r="A272" s="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</row>
    <row r="273" spans="1:50" x14ac:dyDescent="0.2">
      <c r="A273" s="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</row>
    <row r="274" spans="1:50" x14ac:dyDescent="0.2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</row>
    <row r="275" spans="1:50" x14ac:dyDescent="0.2">
      <c r="A275" s="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</row>
    <row r="276" spans="1:50" x14ac:dyDescent="0.2">
      <c r="A276" s="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</row>
    <row r="277" spans="1:50" x14ac:dyDescent="0.2">
      <c r="A277" s="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</row>
    <row r="278" spans="1:50" x14ac:dyDescent="0.2">
      <c r="A278" s="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</row>
    <row r="279" spans="1:50" x14ac:dyDescent="0.2">
      <c r="A279" s="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</row>
    <row r="280" spans="1:50" x14ac:dyDescent="0.2">
      <c r="A280" s="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</row>
    <row r="281" spans="1:50" x14ac:dyDescent="0.2">
      <c r="A281" s="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</row>
    <row r="282" spans="1:50" x14ac:dyDescent="0.2">
      <c r="A282" s="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</row>
    <row r="283" spans="1:50" x14ac:dyDescent="0.2">
      <c r="A283" s="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</row>
    <row r="284" spans="1:50" x14ac:dyDescent="0.2">
      <c r="A284" s="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</row>
    <row r="285" spans="1:50" x14ac:dyDescent="0.2">
      <c r="A285" s="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</row>
    <row r="286" spans="1:50" x14ac:dyDescent="0.2">
      <c r="A286" s="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</row>
    <row r="287" spans="1:50" x14ac:dyDescent="0.2">
      <c r="A287" s="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</row>
    <row r="288" spans="1:50" x14ac:dyDescent="0.2">
      <c r="A288" s="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</row>
    <row r="289" spans="1:50" x14ac:dyDescent="0.2">
      <c r="A289" s="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</row>
    <row r="290" spans="1:50" x14ac:dyDescent="0.2">
      <c r="A290" s="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</row>
    <row r="291" spans="1:50" x14ac:dyDescent="0.2">
      <c r="A291" s="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</row>
    <row r="292" spans="1:50" x14ac:dyDescent="0.2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</row>
    <row r="293" spans="1:50" x14ac:dyDescent="0.2">
      <c r="A293" s="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</row>
    <row r="294" spans="1:50" x14ac:dyDescent="0.2">
      <c r="A294" s="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</row>
    <row r="295" spans="1:50" x14ac:dyDescent="0.2">
      <c r="A295" s="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</row>
    <row r="296" spans="1:50" x14ac:dyDescent="0.2">
      <c r="A296" s="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</row>
    <row r="297" spans="1:50" x14ac:dyDescent="0.2">
      <c r="A297" s="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</row>
    <row r="298" spans="1:50" x14ac:dyDescent="0.2">
      <c r="A298" s="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</row>
    <row r="299" spans="1:50" x14ac:dyDescent="0.2">
      <c r="A299" s="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</row>
    <row r="300" spans="1:50" x14ac:dyDescent="0.2">
      <c r="A300" s="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</row>
    <row r="301" spans="1:50" x14ac:dyDescent="0.2">
      <c r="A301" s="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</row>
    <row r="302" spans="1:50" x14ac:dyDescent="0.2">
      <c r="A302" s="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</row>
    <row r="303" spans="1:50" x14ac:dyDescent="0.2">
      <c r="A303" s="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</row>
    <row r="304" spans="1:50" x14ac:dyDescent="0.2">
      <c r="A304" s="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</row>
    <row r="305" spans="1:50" x14ac:dyDescent="0.2">
      <c r="A305" s="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</row>
    <row r="306" spans="1:50" x14ac:dyDescent="0.2">
      <c r="A306" s="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</row>
    <row r="307" spans="1:50" x14ac:dyDescent="0.2">
      <c r="A307" s="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</row>
    <row r="308" spans="1:50" x14ac:dyDescent="0.2">
      <c r="A308" s="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</row>
    <row r="309" spans="1:50" x14ac:dyDescent="0.2">
      <c r="A309" s="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</row>
    <row r="310" spans="1:50" x14ac:dyDescent="0.2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</row>
    <row r="311" spans="1:50" x14ac:dyDescent="0.2">
      <c r="A311" s="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</row>
    <row r="312" spans="1:50" x14ac:dyDescent="0.2">
      <c r="A312" s="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</row>
    <row r="313" spans="1:50" x14ac:dyDescent="0.2">
      <c r="A313" s="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</row>
    <row r="314" spans="1:50" x14ac:dyDescent="0.2">
      <c r="A314" s="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</row>
    <row r="315" spans="1:50" x14ac:dyDescent="0.2">
      <c r="A315" s="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</row>
    <row r="316" spans="1:50" x14ac:dyDescent="0.2">
      <c r="A316" s="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</row>
    <row r="317" spans="1:50" x14ac:dyDescent="0.2">
      <c r="A317" s="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</row>
    <row r="318" spans="1:50" x14ac:dyDescent="0.2">
      <c r="A318" s="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</row>
    <row r="319" spans="1:50" x14ac:dyDescent="0.2">
      <c r="A319" s="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</row>
    <row r="320" spans="1:50" x14ac:dyDescent="0.2">
      <c r="A320" s="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</row>
    <row r="321" spans="1:50" x14ac:dyDescent="0.2">
      <c r="A321" s="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</row>
    <row r="322" spans="1:50" x14ac:dyDescent="0.2">
      <c r="A322" s="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</row>
    <row r="323" spans="1:50" x14ac:dyDescent="0.2">
      <c r="A323" s="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</row>
    <row r="324" spans="1:50" x14ac:dyDescent="0.2">
      <c r="A324" s="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</row>
    <row r="325" spans="1:50" x14ac:dyDescent="0.2">
      <c r="A325" s="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</row>
    <row r="326" spans="1:50" x14ac:dyDescent="0.2">
      <c r="A326" s="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</row>
    <row r="327" spans="1:50" x14ac:dyDescent="0.2">
      <c r="A327" s="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</row>
    <row r="328" spans="1:50" x14ac:dyDescent="0.2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</row>
    <row r="329" spans="1:50" x14ac:dyDescent="0.2">
      <c r="A329" s="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</row>
    <row r="330" spans="1:50" x14ac:dyDescent="0.2">
      <c r="A330" s="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</row>
    <row r="331" spans="1:50" x14ac:dyDescent="0.2">
      <c r="A331" s="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</row>
    <row r="332" spans="1:50" x14ac:dyDescent="0.2">
      <c r="A332" s="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</row>
    <row r="333" spans="1:50" x14ac:dyDescent="0.2">
      <c r="A333" s="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</row>
    <row r="334" spans="1:50" x14ac:dyDescent="0.2">
      <c r="A334" s="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</row>
    <row r="335" spans="1:50" x14ac:dyDescent="0.2">
      <c r="A335" s="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</row>
    <row r="336" spans="1:50" x14ac:dyDescent="0.2">
      <c r="A336" s="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</row>
    <row r="337" spans="1:50" x14ac:dyDescent="0.2">
      <c r="A337" s="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</row>
    <row r="338" spans="1:50" x14ac:dyDescent="0.2">
      <c r="A338" s="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</row>
    <row r="339" spans="1:50" x14ac:dyDescent="0.2">
      <c r="A339" s="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</row>
    <row r="340" spans="1:50" x14ac:dyDescent="0.2">
      <c r="A340" s="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</row>
    <row r="341" spans="1:50" x14ac:dyDescent="0.2">
      <c r="A341" s="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</row>
    <row r="342" spans="1:50" x14ac:dyDescent="0.2">
      <c r="A342" s="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</row>
    <row r="343" spans="1:50" x14ac:dyDescent="0.2">
      <c r="A343" s="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</row>
    <row r="344" spans="1:50" x14ac:dyDescent="0.2">
      <c r="A344" s="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</row>
    <row r="345" spans="1:50" x14ac:dyDescent="0.2">
      <c r="A345" s="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</row>
    <row r="346" spans="1:50" x14ac:dyDescent="0.2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</row>
    <row r="347" spans="1:50" x14ac:dyDescent="0.2">
      <c r="A347" s="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</row>
    <row r="348" spans="1:50" x14ac:dyDescent="0.2">
      <c r="A348" s="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</row>
    <row r="349" spans="1:50" x14ac:dyDescent="0.2">
      <c r="A349" s="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</row>
    <row r="350" spans="1:50" x14ac:dyDescent="0.2">
      <c r="A350" s="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</row>
    <row r="351" spans="1:50" x14ac:dyDescent="0.2">
      <c r="A351" s="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</row>
    <row r="352" spans="1:50" x14ac:dyDescent="0.2">
      <c r="A352" s="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</row>
    <row r="353" spans="1:50" x14ac:dyDescent="0.2">
      <c r="A353" s="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</row>
    <row r="354" spans="1:50" x14ac:dyDescent="0.2">
      <c r="A354" s="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</row>
    <row r="355" spans="1:50" x14ac:dyDescent="0.2">
      <c r="A355" s="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</row>
    <row r="356" spans="1:50" x14ac:dyDescent="0.2">
      <c r="A356" s="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</row>
    <row r="357" spans="1:50" x14ac:dyDescent="0.2">
      <c r="A357" s="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</row>
    <row r="358" spans="1:50" x14ac:dyDescent="0.2">
      <c r="A358" s="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</row>
    <row r="359" spans="1:50" x14ac:dyDescent="0.2">
      <c r="A359" s="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</row>
    <row r="360" spans="1:50" x14ac:dyDescent="0.2">
      <c r="A360" s="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</row>
    <row r="361" spans="1:50" x14ac:dyDescent="0.2">
      <c r="A361" s="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</row>
    <row r="362" spans="1:50" x14ac:dyDescent="0.2">
      <c r="A362" s="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</row>
    <row r="363" spans="1:50" x14ac:dyDescent="0.2">
      <c r="A363" s="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</row>
    <row r="364" spans="1:50" x14ac:dyDescent="0.2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</row>
    <row r="365" spans="1:50" x14ac:dyDescent="0.2">
      <c r="A365" s="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</row>
    <row r="366" spans="1:50" x14ac:dyDescent="0.2">
      <c r="A366" s="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</row>
    <row r="367" spans="1:50" x14ac:dyDescent="0.2">
      <c r="A367" s="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</row>
    <row r="368" spans="1:50" x14ac:dyDescent="0.2">
      <c r="A368" s="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</row>
    <row r="369" spans="1:50" x14ac:dyDescent="0.2">
      <c r="A369" s="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</row>
    <row r="370" spans="1:50" x14ac:dyDescent="0.2">
      <c r="A370" s="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</row>
    <row r="371" spans="1:50" x14ac:dyDescent="0.2">
      <c r="A371" s="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</row>
    <row r="372" spans="1:50" x14ac:dyDescent="0.2">
      <c r="A372" s="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</row>
    <row r="373" spans="1:50" x14ac:dyDescent="0.2">
      <c r="A373" s="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</row>
    <row r="374" spans="1:50" x14ac:dyDescent="0.2">
      <c r="A374" s="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</row>
    <row r="375" spans="1:50" x14ac:dyDescent="0.2">
      <c r="A375" s="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</row>
    <row r="376" spans="1:50" x14ac:dyDescent="0.2">
      <c r="A376" s="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</row>
    <row r="377" spans="1:50" x14ac:dyDescent="0.2">
      <c r="A377" s="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</row>
    <row r="378" spans="1:50" x14ac:dyDescent="0.2">
      <c r="A378" s="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</row>
    <row r="379" spans="1:50" x14ac:dyDescent="0.2">
      <c r="A379" s="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</row>
    <row r="380" spans="1:50" x14ac:dyDescent="0.2">
      <c r="A380" s="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</row>
    <row r="381" spans="1:50" x14ac:dyDescent="0.2">
      <c r="A381" s="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</row>
    <row r="382" spans="1:50" x14ac:dyDescent="0.2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</row>
    <row r="383" spans="1:50" x14ac:dyDescent="0.2">
      <c r="A383" s="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</row>
    <row r="384" spans="1:50" x14ac:dyDescent="0.2">
      <c r="A384" s="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</row>
    <row r="385" spans="1:50" x14ac:dyDescent="0.2">
      <c r="A385" s="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</row>
    <row r="386" spans="1:50" x14ac:dyDescent="0.2">
      <c r="A386" s="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</row>
    <row r="387" spans="1:50" x14ac:dyDescent="0.2">
      <c r="A387" s="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</row>
    <row r="388" spans="1:50" x14ac:dyDescent="0.2">
      <c r="A388" s="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</row>
    <row r="389" spans="1:50" x14ac:dyDescent="0.2">
      <c r="A389" s="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</row>
    <row r="390" spans="1:50" x14ac:dyDescent="0.2">
      <c r="A390" s="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</row>
    <row r="391" spans="1:50" x14ac:dyDescent="0.2">
      <c r="A391" s="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</row>
    <row r="392" spans="1:50" x14ac:dyDescent="0.2">
      <c r="A392" s="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</row>
    <row r="393" spans="1:50" x14ac:dyDescent="0.2">
      <c r="A393" s="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</row>
    <row r="394" spans="1:50" x14ac:dyDescent="0.2">
      <c r="A394" s="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</row>
    <row r="395" spans="1:50" x14ac:dyDescent="0.2">
      <c r="A395" s="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</row>
    <row r="396" spans="1:50" x14ac:dyDescent="0.2">
      <c r="A396" s="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</row>
    <row r="397" spans="1:50" x14ac:dyDescent="0.2">
      <c r="A397" s="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</row>
    <row r="398" spans="1:50" x14ac:dyDescent="0.2">
      <c r="A398" s="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</row>
    <row r="399" spans="1:50" x14ac:dyDescent="0.2">
      <c r="A399" s="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</row>
    <row r="400" spans="1:50" x14ac:dyDescent="0.2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</row>
    <row r="401" spans="1:50" x14ac:dyDescent="0.2">
      <c r="A401" s="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</row>
    <row r="402" spans="1:50" x14ac:dyDescent="0.2">
      <c r="A402" s="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</row>
    <row r="403" spans="1:50" x14ac:dyDescent="0.2">
      <c r="A403" s="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</row>
    <row r="404" spans="1:50" x14ac:dyDescent="0.2">
      <c r="A404" s="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</row>
    <row r="405" spans="1:50" x14ac:dyDescent="0.2">
      <c r="A405" s="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</row>
    <row r="406" spans="1:50" x14ac:dyDescent="0.2">
      <c r="A406" s="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</row>
    <row r="407" spans="1:50" x14ac:dyDescent="0.2">
      <c r="A407" s="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</row>
    <row r="408" spans="1:50" x14ac:dyDescent="0.2">
      <c r="A408" s="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</row>
    <row r="409" spans="1:50" x14ac:dyDescent="0.2">
      <c r="A409" s="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</row>
    <row r="410" spans="1:50" x14ac:dyDescent="0.2">
      <c r="A410" s="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</row>
    <row r="411" spans="1:50" x14ac:dyDescent="0.2">
      <c r="A411" s="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</row>
    <row r="412" spans="1:50" x14ac:dyDescent="0.2">
      <c r="A412" s="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</row>
    <row r="413" spans="1:50" x14ac:dyDescent="0.2">
      <c r="A413" s="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</row>
    <row r="414" spans="1:50" x14ac:dyDescent="0.2">
      <c r="A414" s="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</row>
    <row r="415" spans="1:50" x14ac:dyDescent="0.2">
      <c r="A415" s="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</row>
    <row r="416" spans="1:50" x14ac:dyDescent="0.2">
      <c r="A416" s="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</row>
    <row r="417" spans="1:50" x14ac:dyDescent="0.2">
      <c r="A417" s="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</row>
    <row r="418" spans="1:50" x14ac:dyDescent="0.2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</row>
    <row r="419" spans="1:50" x14ac:dyDescent="0.2">
      <c r="A419" s="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</row>
    <row r="420" spans="1:50" x14ac:dyDescent="0.2">
      <c r="A420" s="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</row>
    <row r="421" spans="1:50" x14ac:dyDescent="0.2">
      <c r="A421" s="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</row>
    <row r="422" spans="1:50" x14ac:dyDescent="0.2">
      <c r="A422" s="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</row>
    <row r="423" spans="1:50" x14ac:dyDescent="0.2">
      <c r="A423" s="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</row>
    <row r="424" spans="1:50" x14ac:dyDescent="0.2">
      <c r="A424" s="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</row>
    <row r="425" spans="1:50" x14ac:dyDescent="0.2">
      <c r="A425" s="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</row>
    <row r="426" spans="1:50" x14ac:dyDescent="0.2">
      <c r="A426" s="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</row>
    <row r="427" spans="1:50" x14ac:dyDescent="0.2">
      <c r="A427" s="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</row>
    <row r="428" spans="1:50" x14ac:dyDescent="0.2">
      <c r="A428" s="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</row>
    <row r="429" spans="1:50" x14ac:dyDescent="0.2">
      <c r="A429" s="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</row>
    <row r="430" spans="1:50" x14ac:dyDescent="0.2">
      <c r="A430" s="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</row>
    <row r="431" spans="1:50" x14ac:dyDescent="0.2">
      <c r="A431" s="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</row>
    <row r="432" spans="1:50" x14ac:dyDescent="0.2">
      <c r="A432" s="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</row>
    <row r="433" spans="1:50" x14ac:dyDescent="0.2">
      <c r="A433" s="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</row>
    <row r="434" spans="1:50" x14ac:dyDescent="0.2">
      <c r="A434" s="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</row>
    <row r="435" spans="1:50" x14ac:dyDescent="0.2">
      <c r="A435" s="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</row>
    <row r="436" spans="1:50" x14ac:dyDescent="0.2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</row>
    <row r="437" spans="1:50" x14ac:dyDescent="0.2">
      <c r="A437" s="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</row>
    <row r="438" spans="1:50" x14ac:dyDescent="0.2">
      <c r="A438" s="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</row>
    <row r="439" spans="1:50" x14ac:dyDescent="0.2">
      <c r="A439" s="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</row>
    <row r="440" spans="1:50" x14ac:dyDescent="0.2">
      <c r="A440" s="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</row>
    <row r="441" spans="1:50" x14ac:dyDescent="0.2">
      <c r="A441" s="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</row>
    <row r="442" spans="1:50" x14ac:dyDescent="0.2">
      <c r="A442" s="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</row>
    <row r="443" spans="1:50" x14ac:dyDescent="0.2">
      <c r="A443" s="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</row>
    <row r="444" spans="1:50" x14ac:dyDescent="0.2">
      <c r="A444" s="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</row>
    <row r="445" spans="1:50" x14ac:dyDescent="0.2">
      <c r="A445" s="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</row>
    <row r="446" spans="1:50" x14ac:dyDescent="0.2">
      <c r="A446" s="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</row>
    <row r="447" spans="1:50" x14ac:dyDescent="0.2">
      <c r="A447" s="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</row>
    <row r="448" spans="1:50" x14ac:dyDescent="0.2">
      <c r="A448" s="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</row>
    <row r="449" spans="1:50" x14ac:dyDescent="0.2">
      <c r="A449" s="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</row>
    <row r="450" spans="1:50" x14ac:dyDescent="0.2">
      <c r="A450" s="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</row>
    <row r="451" spans="1:50" x14ac:dyDescent="0.2">
      <c r="A451" s="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</row>
    <row r="452" spans="1:50" x14ac:dyDescent="0.2">
      <c r="A452" s="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</row>
    <row r="453" spans="1:50" x14ac:dyDescent="0.2">
      <c r="A453" s="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</row>
    <row r="454" spans="1:50" x14ac:dyDescent="0.2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</row>
    <row r="455" spans="1:50" x14ac:dyDescent="0.2">
      <c r="A455" s="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</row>
    <row r="456" spans="1:50" x14ac:dyDescent="0.2">
      <c r="A456" s="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</row>
    <row r="457" spans="1:50" x14ac:dyDescent="0.2">
      <c r="A457" s="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</row>
    <row r="458" spans="1:50" x14ac:dyDescent="0.2">
      <c r="A458" s="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</row>
    <row r="459" spans="1:50" x14ac:dyDescent="0.2">
      <c r="A459" s="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</row>
    <row r="460" spans="1:50" x14ac:dyDescent="0.2">
      <c r="A460" s="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</row>
    <row r="461" spans="1:50" x14ac:dyDescent="0.2">
      <c r="A461" s="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</row>
    <row r="462" spans="1:50" x14ac:dyDescent="0.2">
      <c r="A462" s="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</row>
    <row r="463" spans="1:50" x14ac:dyDescent="0.2">
      <c r="A463" s="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</row>
    <row r="464" spans="1:50" x14ac:dyDescent="0.2">
      <c r="A464" s="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</row>
    <row r="465" spans="1:50" x14ac:dyDescent="0.2">
      <c r="A465" s="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</row>
    <row r="466" spans="1:50" x14ac:dyDescent="0.2">
      <c r="A466" s="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</row>
    <row r="467" spans="1:50" x14ac:dyDescent="0.2">
      <c r="A467" s="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</row>
    <row r="468" spans="1:50" x14ac:dyDescent="0.2">
      <c r="A468" s="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</row>
    <row r="469" spans="1:50" x14ac:dyDescent="0.2">
      <c r="A469" s="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</row>
    <row r="470" spans="1:50" x14ac:dyDescent="0.2">
      <c r="A470" s="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</row>
    <row r="471" spans="1:50" x14ac:dyDescent="0.2">
      <c r="A471" s="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</row>
    <row r="472" spans="1:50" x14ac:dyDescent="0.2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</row>
    <row r="473" spans="1:50" x14ac:dyDescent="0.2">
      <c r="A473" s="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</row>
    <row r="474" spans="1:50" x14ac:dyDescent="0.2">
      <c r="A474" s="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</row>
    <row r="475" spans="1:50" x14ac:dyDescent="0.2">
      <c r="A475" s="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</row>
    <row r="476" spans="1:50" x14ac:dyDescent="0.2">
      <c r="A476" s="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</row>
    <row r="477" spans="1:50" x14ac:dyDescent="0.2">
      <c r="A477" s="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</row>
    <row r="478" spans="1:50" x14ac:dyDescent="0.2">
      <c r="A478" s="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</row>
    <row r="479" spans="1:50" x14ac:dyDescent="0.2">
      <c r="A479" s="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</row>
    <row r="480" spans="1:50" x14ac:dyDescent="0.2">
      <c r="A480" s="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</row>
    <row r="481" spans="1:50" x14ac:dyDescent="0.2">
      <c r="A481" s="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</row>
    <row r="482" spans="1:50" x14ac:dyDescent="0.2">
      <c r="A482" s="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</row>
    <row r="483" spans="1:50" x14ac:dyDescent="0.2">
      <c r="A483" s="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</row>
    <row r="484" spans="1:50" x14ac:dyDescent="0.2">
      <c r="A484" s="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</row>
    <row r="485" spans="1:50" x14ac:dyDescent="0.2">
      <c r="A485" s="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</row>
    <row r="486" spans="1:50" x14ac:dyDescent="0.2">
      <c r="A486" s="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</row>
    <row r="487" spans="1:50" x14ac:dyDescent="0.2">
      <c r="A487" s="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</row>
    <row r="488" spans="1:50" x14ac:dyDescent="0.2">
      <c r="A488" s="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</row>
    <row r="489" spans="1:50" x14ac:dyDescent="0.2">
      <c r="A489" s="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</row>
    <row r="490" spans="1:50" x14ac:dyDescent="0.2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</row>
    <row r="491" spans="1:50" x14ac:dyDescent="0.2">
      <c r="A491" s="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</row>
    <row r="492" spans="1:50" x14ac:dyDescent="0.2">
      <c r="A492" s="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</row>
    <row r="493" spans="1:50" x14ac:dyDescent="0.2">
      <c r="A493" s="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</row>
    <row r="494" spans="1:50" x14ac:dyDescent="0.2">
      <c r="A494" s="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</row>
    <row r="495" spans="1:50" x14ac:dyDescent="0.2">
      <c r="A495" s="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</row>
    <row r="496" spans="1:50" x14ac:dyDescent="0.2">
      <c r="A496" s="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</row>
    <row r="497" spans="1:50" x14ac:dyDescent="0.2">
      <c r="A497" s="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</row>
    <row r="498" spans="1:50" x14ac:dyDescent="0.2">
      <c r="A498" s="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</row>
    <row r="499" spans="1:50" x14ac:dyDescent="0.2">
      <c r="A499" s="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</row>
    <row r="500" spans="1:50" x14ac:dyDescent="0.2">
      <c r="A500" s="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</row>
    <row r="501" spans="1:50" x14ac:dyDescent="0.2">
      <c r="A501" s="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</row>
    <row r="502" spans="1:50" x14ac:dyDescent="0.2">
      <c r="A502" s="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</row>
    <row r="503" spans="1:50" x14ac:dyDescent="0.2">
      <c r="A503" s="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</row>
    <row r="504" spans="1:50" x14ac:dyDescent="0.2">
      <c r="A504" s="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</row>
    <row r="505" spans="1:50" x14ac:dyDescent="0.2">
      <c r="A505" s="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</row>
    <row r="506" spans="1:50" x14ac:dyDescent="0.2">
      <c r="A506" s="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</row>
    <row r="507" spans="1:50" x14ac:dyDescent="0.2">
      <c r="A507" s="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</row>
    <row r="508" spans="1:50" x14ac:dyDescent="0.2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</row>
    <row r="509" spans="1:50" x14ac:dyDescent="0.2">
      <c r="A509" s="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</row>
    <row r="510" spans="1:50" x14ac:dyDescent="0.2">
      <c r="A510" s="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</row>
    <row r="511" spans="1:50" x14ac:dyDescent="0.2">
      <c r="A511" s="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</row>
    <row r="512" spans="1:50" x14ac:dyDescent="0.2">
      <c r="A512" s="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</row>
    <row r="513" spans="1:50" x14ac:dyDescent="0.2">
      <c r="A513" s="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</row>
    <row r="514" spans="1:50" x14ac:dyDescent="0.2">
      <c r="A514" s="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</row>
    <row r="515" spans="1:50" x14ac:dyDescent="0.2">
      <c r="A515" s="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</row>
    <row r="516" spans="1:50" x14ac:dyDescent="0.2">
      <c r="A516" s="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</row>
    <row r="517" spans="1:50" x14ac:dyDescent="0.2">
      <c r="A517" s="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</row>
    <row r="518" spans="1:50" x14ac:dyDescent="0.2">
      <c r="A518" s="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</row>
    <row r="519" spans="1:50" x14ac:dyDescent="0.2">
      <c r="A519" s="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</row>
    <row r="520" spans="1:50" x14ac:dyDescent="0.2">
      <c r="A520" s="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</row>
    <row r="521" spans="1:50" x14ac:dyDescent="0.2">
      <c r="A521" s="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</row>
    <row r="522" spans="1:50" x14ac:dyDescent="0.2">
      <c r="A522" s="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</row>
    <row r="523" spans="1:50" x14ac:dyDescent="0.2">
      <c r="A523" s="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</row>
    <row r="524" spans="1:50" x14ac:dyDescent="0.2">
      <c r="A524" s="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</row>
    <row r="525" spans="1:50" x14ac:dyDescent="0.2">
      <c r="A525" s="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</row>
    <row r="526" spans="1:50" x14ac:dyDescent="0.2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</row>
    <row r="527" spans="1:50" x14ac:dyDescent="0.2">
      <c r="A527" s="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</row>
    <row r="528" spans="1:50" x14ac:dyDescent="0.2">
      <c r="A528" s="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</row>
    <row r="529" spans="1:50" x14ac:dyDescent="0.2">
      <c r="A529" s="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</row>
    <row r="530" spans="1:50" x14ac:dyDescent="0.2">
      <c r="A530" s="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</row>
    <row r="531" spans="1:50" x14ac:dyDescent="0.2">
      <c r="A531" s="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</row>
    <row r="532" spans="1:50" x14ac:dyDescent="0.2">
      <c r="A532" s="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</row>
    <row r="533" spans="1:50" x14ac:dyDescent="0.2">
      <c r="A533" s="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</row>
    <row r="534" spans="1:50" x14ac:dyDescent="0.2">
      <c r="A534" s="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</row>
    <row r="535" spans="1:50" x14ac:dyDescent="0.2">
      <c r="A535" s="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</row>
    <row r="536" spans="1:50" x14ac:dyDescent="0.2">
      <c r="A536" s="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</row>
    <row r="537" spans="1:50" x14ac:dyDescent="0.2">
      <c r="A537" s="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</row>
    <row r="538" spans="1:50" x14ac:dyDescent="0.2">
      <c r="A538" s="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</row>
    <row r="539" spans="1:50" x14ac:dyDescent="0.2">
      <c r="A539" s="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</row>
    <row r="540" spans="1:50" x14ac:dyDescent="0.2">
      <c r="A540" s="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</row>
    <row r="541" spans="1:50" x14ac:dyDescent="0.2">
      <c r="A541" s="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</row>
    <row r="542" spans="1:50" x14ac:dyDescent="0.2">
      <c r="A542" s="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</row>
    <row r="543" spans="1:50" x14ac:dyDescent="0.2">
      <c r="A543" s="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</row>
    <row r="544" spans="1:50" x14ac:dyDescent="0.2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</row>
    <row r="545" spans="1:50" x14ac:dyDescent="0.2">
      <c r="A545" s="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</row>
    <row r="546" spans="1:50" x14ac:dyDescent="0.2">
      <c r="A546" s="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</row>
    <row r="547" spans="1:50" x14ac:dyDescent="0.2">
      <c r="A547" s="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</row>
    <row r="548" spans="1:50" x14ac:dyDescent="0.2">
      <c r="A548" s="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</row>
    <row r="549" spans="1:50" x14ac:dyDescent="0.2">
      <c r="A549" s="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</row>
    <row r="550" spans="1:50" x14ac:dyDescent="0.2">
      <c r="A550" s="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</row>
    <row r="551" spans="1:50" x14ac:dyDescent="0.2">
      <c r="A551" s="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</row>
    <row r="552" spans="1:50" x14ac:dyDescent="0.2">
      <c r="A552" s="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</row>
    <row r="553" spans="1:50" x14ac:dyDescent="0.2">
      <c r="A553" s="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</row>
    <row r="554" spans="1:50" x14ac:dyDescent="0.2">
      <c r="A554" s="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</row>
    <row r="555" spans="1:50" x14ac:dyDescent="0.2">
      <c r="A555" s="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</row>
    <row r="556" spans="1:50" x14ac:dyDescent="0.2">
      <c r="A556" s="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</row>
    <row r="557" spans="1:50" x14ac:dyDescent="0.2">
      <c r="A557" s="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</row>
    <row r="558" spans="1:50" x14ac:dyDescent="0.2">
      <c r="A558" s="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</row>
    <row r="559" spans="1:50" x14ac:dyDescent="0.2">
      <c r="A559" s="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</row>
    <row r="560" spans="1:50" x14ac:dyDescent="0.2">
      <c r="A560" s="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</row>
    <row r="561" spans="1:50" x14ac:dyDescent="0.2">
      <c r="A561" s="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</row>
    <row r="562" spans="1:50" x14ac:dyDescent="0.2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</row>
    <row r="563" spans="1:50" x14ac:dyDescent="0.2">
      <c r="A563" s="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</row>
    <row r="564" spans="1:50" x14ac:dyDescent="0.2">
      <c r="A564" s="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</row>
    <row r="565" spans="1:50" x14ac:dyDescent="0.2">
      <c r="A565" s="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</row>
    <row r="566" spans="1:50" x14ac:dyDescent="0.2">
      <c r="A566" s="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</row>
    <row r="567" spans="1:50" x14ac:dyDescent="0.2">
      <c r="A567" s="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</row>
    <row r="568" spans="1:50" x14ac:dyDescent="0.2">
      <c r="A568" s="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</row>
    <row r="569" spans="1:50" x14ac:dyDescent="0.2">
      <c r="A569" s="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</row>
    <row r="570" spans="1:50" x14ac:dyDescent="0.2">
      <c r="A570" s="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</row>
    <row r="571" spans="1:50" x14ac:dyDescent="0.2">
      <c r="A571" s="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</row>
    <row r="572" spans="1:50" x14ac:dyDescent="0.2">
      <c r="A572" s="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</row>
    <row r="573" spans="1:50" x14ac:dyDescent="0.2">
      <c r="A573" s="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</row>
    <row r="574" spans="1:50" x14ac:dyDescent="0.2">
      <c r="A574" s="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</row>
    <row r="575" spans="1:50" x14ac:dyDescent="0.2">
      <c r="A575" s="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</row>
    <row r="576" spans="1:50" x14ac:dyDescent="0.2">
      <c r="A576" s="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</row>
    <row r="577" spans="1:50" x14ac:dyDescent="0.2">
      <c r="A577" s="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</row>
    <row r="578" spans="1:50" x14ac:dyDescent="0.2">
      <c r="A578" s="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</row>
    <row r="579" spans="1:50" x14ac:dyDescent="0.2">
      <c r="A579" s="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</row>
    <row r="580" spans="1:50" x14ac:dyDescent="0.2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</row>
    <row r="581" spans="1:50" x14ac:dyDescent="0.2">
      <c r="A581" s="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</row>
    <row r="582" spans="1:50" x14ac:dyDescent="0.2">
      <c r="A582" s="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</row>
    <row r="583" spans="1:50" x14ac:dyDescent="0.2">
      <c r="A583" s="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</row>
    <row r="584" spans="1:50" x14ac:dyDescent="0.2">
      <c r="A584" s="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</row>
    <row r="585" spans="1:50" x14ac:dyDescent="0.2">
      <c r="A585" s="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</row>
    <row r="586" spans="1:50" x14ac:dyDescent="0.2">
      <c r="A586" s="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</row>
    <row r="587" spans="1:50" x14ac:dyDescent="0.2">
      <c r="A587" s="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</row>
    <row r="588" spans="1:50" x14ac:dyDescent="0.2">
      <c r="A588" s="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</row>
    <row r="589" spans="1:50" x14ac:dyDescent="0.2">
      <c r="A589" s="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</row>
    <row r="590" spans="1:50" x14ac:dyDescent="0.2">
      <c r="A590" s="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</row>
    <row r="591" spans="1:50" x14ac:dyDescent="0.2">
      <c r="A591" s="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</row>
    <row r="592" spans="1:50" x14ac:dyDescent="0.2">
      <c r="A592" s="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</row>
    <row r="593" spans="1:50" x14ac:dyDescent="0.2">
      <c r="A593" s="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</row>
    <row r="594" spans="1:50" x14ac:dyDescent="0.2">
      <c r="A594" s="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</row>
    <row r="595" spans="1:50" x14ac:dyDescent="0.2">
      <c r="A595" s="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</row>
    <row r="596" spans="1:50" x14ac:dyDescent="0.2">
      <c r="A596" s="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</row>
    <row r="597" spans="1:50" x14ac:dyDescent="0.2">
      <c r="A597" s="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</row>
    <row r="598" spans="1:50" x14ac:dyDescent="0.2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</row>
    <row r="599" spans="1:50" x14ac:dyDescent="0.2">
      <c r="A599" s="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</row>
    <row r="600" spans="1:50" x14ac:dyDescent="0.2">
      <c r="A600" s="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</row>
    <row r="601" spans="1:50" x14ac:dyDescent="0.2">
      <c r="A601" s="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</row>
    <row r="602" spans="1:50" x14ac:dyDescent="0.2">
      <c r="A602" s="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</row>
    <row r="603" spans="1:50" x14ac:dyDescent="0.2">
      <c r="A603" s="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</row>
    <row r="604" spans="1:50" x14ac:dyDescent="0.2">
      <c r="A604" s="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</row>
    <row r="605" spans="1:50" x14ac:dyDescent="0.2">
      <c r="A605" s="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</row>
    <row r="606" spans="1:50" x14ac:dyDescent="0.2">
      <c r="A606" s="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</row>
    <row r="607" spans="1:50" x14ac:dyDescent="0.2">
      <c r="A607" s="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</row>
    <row r="608" spans="1:50" x14ac:dyDescent="0.2">
      <c r="A608" s="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</row>
    <row r="609" spans="1:50" x14ac:dyDescent="0.2">
      <c r="A609" s="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</row>
    <row r="610" spans="1:50" x14ac:dyDescent="0.2">
      <c r="A610" s="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</row>
    <row r="611" spans="1:50" x14ac:dyDescent="0.2">
      <c r="A611" s="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</row>
    <row r="612" spans="1:50" x14ac:dyDescent="0.2">
      <c r="A612" s="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</row>
    <row r="613" spans="1:50" x14ac:dyDescent="0.2">
      <c r="A613" s="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</row>
    <row r="614" spans="1:50" x14ac:dyDescent="0.2">
      <c r="A614" s="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</row>
    <row r="615" spans="1:50" x14ac:dyDescent="0.2">
      <c r="A615" s="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</row>
    <row r="616" spans="1:50" x14ac:dyDescent="0.2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</row>
    <row r="617" spans="1:50" x14ac:dyDescent="0.2">
      <c r="A617" s="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</row>
    <row r="618" spans="1:50" x14ac:dyDescent="0.2">
      <c r="A618" s="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</row>
    <row r="619" spans="1:50" x14ac:dyDescent="0.2">
      <c r="A619" s="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</row>
    <row r="620" spans="1:50" x14ac:dyDescent="0.2">
      <c r="A620" s="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</row>
    <row r="621" spans="1:50" x14ac:dyDescent="0.2">
      <c r="A621" s="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</row>
    <row r="622" spans="1:50" x14ac:dyDescent="0.2">
      <c r="A622" s="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</row>
    <row r="623" spans="1:50" x14ac:dyDescent="0.2">
      <c r="A623" s="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</row>
    <row r="624" spans="1:50" x14ac:dyDescent="0.2">
      <c r="A624" s="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</row>
    <row r="625" spans="1:50" x14ac:dyDescent="0.2">
      <c r="A625" s="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</row>
    <row r="626" spans="1:50" x14ac:dyDescent="0.2">
      <c r="A626" s="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</row>
    <row r="627" spans="1:50" x14ac:dyDescent="0.2">
      <c r="A627" s="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</row>
    <row r="628" spans="1:50" x14ac:dyDescent="0.2">
      <c r="A628" s="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</row>
    <row r="629" spans="1:50" x14ac:dyDescent="0.2">
      <c r="A629" s="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</row>
    <row r="630" spans="1:50" x14ac:dyDescent="0.2">
      <c r="A630" s="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</row>
    <row r="631" spans="1:50" x14ac:dyDescent="0.2">
      <c r="A631" s="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</row>
    <row r="632" spans="1:50" x14ac:dyDescent="0.2">
      <c r="A632" s="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</row>
    <row r="633" spans="1:50" x14ac:dyDescent="0.2">
      <c r="A633" s="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</row>
    <row r="634" spans="1:50" x14ac:dyDescent="0.2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</row>
    <row r="635" spans="1:50" x14ac:dyDescent="0.2">
      <c r="A635" s="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</row>
    <row r="636" spans="1:50" x14ac:dyDescent="0.2">
      <c r="A636" s="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</row>
    <row r="637" spans="1:50" x14ac:dyDescent="0.2">
      <c r="A637" s="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</row>
    <row r="638" spans="1:50" x14ac:dyDescent="0.2">
      <c r="A638" s="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</row>
    <row r="639" spans="1:50" x14ac:dyDescent="0.2">
      <c r="A639" s="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</row>
    <row r="640" spans="1:50" x14ac:dyDescent="0.2">
      <c r="A640" s="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</row>
    <row r="641" spans="1:50" x14ac:dyDescent="0.2">
      <c r="A641" s="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</row>
    <row r="642" spans="1:50" x14ac:dyDescent="0.2">
      <c r="A642" s="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</row>
    <row r="643" spans="1:50" x14ac:dyDescent="0.2">
      <c r="A643" s="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</row>
    <row r="644" spans="1:50" x14ac:dyDescent="0.2">
      <c r="A644" s="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</row>
    <row r="645" spans="1:50" x14ac:dyDescent="0.2">
      <c r="A645" s="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</row>
    <row r="646" spans="1:50" x14ac:dyDescent="0.2">
      <c r="A646" s="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</row>
    <row r="647" spans="1:50" x14ac:dyDescent="0.2">
      <c r="A647" s="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</row>
    <row r="648" spans="1:50" x14ac:dyDescent="0.2">
      <c r="A648" s="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</row>
    <row r="649" spans="1:50" x14ac:dyDescent="0.2">
      <c r="A649" s="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</row>
    <row r="650" spans="1:50" x14ac:dyDescent="0.2">
      <c r="A650" s="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</row>
    <row r="651" spans="1:50" x14ac:dyDescent="0.2">
      <c r="A651" s="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</row>
    <row r="652" spans="1:50" x14ac:dyDescent="0.2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</row>
    <row r="653" spans="1:50" x14ac:dyDescent="0.2">
      <c r="A653" s="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</row>
    <row r="654" spans="1:50" x14ac:dyDescent="0.2">
      <c r="A654" s="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</row>
    <row r="655" spans="1:50" x14ac:dyDescent="0.2">
      <c r="A655" s="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</row>
    <row r="656" spans="1:50" x14ac:dyDescent="0.2">
      <c r="A656" s="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</row>
    <row r="657" spans="1:50" x14ac:dyDescent="0.2">
      <c r="A657" s="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</row>
    <row r="658" spans="1:50" x14ac:dyDescent="0.2">
      <c r="A658" s="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</row>
    <row r="659" spans="1:50" x14ac:dyDescent="0.2">
      <c r="A659" s="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</row>
    <row r="660" spans="1:50" x14ac:dyDescent="0.2">
      <c r="A660" s="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</row>
    <row r="661" spans="1:50" x14ac:dyDescent="0.2">
      <c r="A661" s="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</row>
    <row r="662" spans="1:50" x14ac:dyDescent="0.2">
      <c r="A662" s="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</row>
    <row r="663" spans="1:50" x14ac:dyDescent="0.2">
      <c r="A663" s="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</row>
    <row r="664" spans="1:50" x14ac:dyDescent="0.2">
      <c r="A664" s="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</row>
    <row r="665" spans="1:50" x14ac:dyDescent="0.2">
      <c r="A665" s="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</row>
    <row r="666" spans="1:50" x14ac:dyDescent="0.2">
      <c r="A666" s="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</row>
    <row r="667" spans="1:50" x14ac:dyDescent="0.2">
      <c r="A667" s="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</row>
    <row r="668" spans="1:50" x14ac:dyDescent="0.2">
      <c r="A668" s="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</row>
    <row r="669" spans="1:50" x14ac:dyDescent="0.2">
      <c r="A669" s="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</row>
    <row r="670" spans="1:50" x14ac:dyDescent="0.2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</row>
    <row r="671" spans="1:50" x14ac:dyDescent="0.2">
      <c r="A671" s="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</row>
    <row r="672" spans="1:50" x14ac:dyDescent="0.2">
      <c r="A672" s="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</row>
    <row r="673" spans="1:50" x14ac:dyDescent="0.2">
      <c r="A673" s="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</row>
    <row r="674" spans="1:50" x14ac:dyDescent="0.2">
      <c r="A674" s="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</row>
    <row r="675" spans="1:50" x14ac:dyDescent="0.2">
      <c r="A675" s="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</row>
    <row r="676" spans="1:50" x14ac:dyDescent="0.2">
      <c r="A676" s="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</row>
    <row r="677" spans="1:50" x14ac:dyDescent="0.2">
      <c r="A677" s="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</row>
    <row r="678" spans="1:50" x14ac:dyDescent="0.2">
      <c r="A678" s="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</row>
    <row r="679" spans="1:50" x14ac:dyDescent="0.2">
      <c r="A679" s="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</row>
    <row r="680" spans="1:50" x14ac:dyDescent="0.2">
      <c r="A680" s="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</row>
    <row r="681" spans="1:50" x14ac:dyDescent="0.2">
      <c r="A681" s="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</row>
    <row r="682" spans="1:50" x14ac:dyDescent="0.2">
      <c r="A682" s="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</row>
    <row r="683" spans="1:50" x14ac:dyDescent="0.2">
      <c r="A683" s="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</row>
    <row r="684" spans="1:50" x14ac:dyDescent="0.2">
      <c r="A684" s="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</row>
    <row r="685" spans="1:50" x14ac:dyDescent="0.2">
      <c r="A685" s="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</row>
    <row r="686" spans="1:50" x14ac:dyDescent="0.2">
      <c r="A686" s="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</row>
    <row r="687" spans="1:50" x14ac:dyDescent="0.2">
      <c r="A687" s="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</row>
    <row r="688" spans="1:50" x14ac:dyDescent="0.2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</row>
    <row r="689" spans="1:50" x14ac:dyDescent="0.2">
      <c r="A689" s="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</row>
    <row r="690" spans="1:50" x14ac:dyDescent="0.2">
      <c r="A690" s="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</row>
    <row r="691" spans="1:50" x14ac:dyDescent="0.2">
      <c r="A691" s="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</row>
    <row r="692" spans="1:50" x14ac:dyDescent="0.2">
      <c r="A692" s="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</row>
    <row r="693" spans="1:50" x14ac:dyDescent="0.2">
      <c r="A693" s="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</row>
    <row r="694" spans="1:50" x14ac:dyDescent="0.2">
      <c r="A694" s="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</row>
    <row r="695" spans="1:50" x14ac:dyDescent="0.2">
      <c r="A695" s="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</row>
    <row r="696" spans="1:50" x14ac:dyDescent="0.2">
      <c r="A696" s="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</row>
    <row r="697" spans="1:50" x14ac:dyDescent="0.2">
      <c r="A697" s="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</row>
    <row r="698" spans="1:50" x14ac:dyDescent="0.2">
      <c r="A698" s="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</row>
    <row r="699" spans="1:50" x14ac:dyDescent="0.2">
      <c r="A699" s="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</row>
    <row r="700" spans="1:50" x14ac:dyDescent="0.2">
      <c r="A700" s="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</row>
    <row r="701" spans="1:50" x14ac:dyDescent="0.2">
      <c r="A701" s="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</row>
    <row r="702" spans="1:50" x14ac:dyDescent="0.2">
      <c r="A702" s="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</row>
    <row r="703" spans="1:50" x14ac:dyDescent="0.2">
      <c r="A703" s="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</row>
    <row r="704" spans="1:50" x14ac:dyDescent="0.2">
      <c r="A704" s="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</row>
    <row r="705" spans="1:50" x14ac:dyDescent="0.2">
      <c r="A705" s="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</row>
    <row r="706" spans="1:50" x14ac:dyDescent="0.2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</row>
    <row r="707" spans="1:50" x14ac:dyDescent="0.2">
      <c r="A707" s="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</row>
    <row r="708" spans="1:50" x14ac:dyDescent="0.2">
      <c r="A708" s="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</row>
    <row r="709" spans="1:50" x14ac:dyDescent="0.2">
      <c r="A709" s="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</row>
    <row r="710" spans="1:50" x14ac:dyDescent="0.2">
      <c r="A710" s="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</row>
    <row r="711" spans="1:50" x14ac:dyDescent="0.2">
      <c r="A711" s="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</row>
    <row r="712" spans="1:50" x14ac:dyDescent="0.2">
      <c r="A712" s="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</row>
    <row r="713" spans="1:50" x14ac:dyDescent="0.2">
      <c r="A713" s="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</row>
    <row r="714" spans="1:50" x14ac:dyDescent="0.2">
      <c r="A714" s="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</row>
    <row r="715" spans="1:50" x14ac:dyDescent="0.2">
      <c r="A715" s="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</row>
    <row r="716" spans="1:50" x14ac:dyDescent="0.2">
      <c r="A716" s="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</row>
    <row r="717" spans="1:50" x14ac:dyDescent="0.2">
      <c r="A717" s="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</row>
    <row r="718" spans="1:50" x14ac:dyDescent="0.2">
      <c r="A718" s="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</row>
    <row r="719" spans="1:50" x14ac:dyDescent="0.2">
      <c r="A719" s="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</row>
    <row r="720" spans="1:50" x14ac:dyDescent="0.2">
      <c r="A720" s="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</row>
    <row r="721" spans="1:50" x14ac:dyDescent="0.2">
      <c r="A721" s="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</row>
    <row r="722" spans="1:50" x14ac:dyDescent="0.2">
      <c r="A722" s="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</row>
    <row r="723" spans="1:50" x14ac:dyDescent="0.2">
      <c r="A723" s="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</row>
    <row r="724" spans="1:50" x14ac:dyDescent="0.2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</row>
    <row r="725" spans="1:50" x14ac:dyDescent="0.2">
      <c r="A725" s="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</row>
    <row r="726" spans="1:50" x14ac:dyDescent="0.2">
      <c r="A726" s="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</row>
    <row r="727" spans="1:50" x14ac:dyDescent="0.2">
      <c r="A727" s="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</row>
    <row r="728" spans="1:50" x14ac:dyDescent="0.2">
      <c r="A728" s="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</row>
    <row r="729" spans="1:50" x14ac:dyDescent="0.2">
      <c r="A729" s="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</row>
    <row r="730" spans="1:50" x14ac:dyDescent="0.2">
      <c r="A730" s="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</row>
    <row r="731" spans="1:50" x14ac:dyDescent="0.2">
      <c r="A731" s="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</row>
    <row r="732" spans="1:50" x14ac:dyDescent="0.2">
      <c r="A732" s="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</row>
    <row r="733" spans="1:50" x14ac:dyDescent="0.2">
      <c r="A733" s="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</row>
    <row r="734" spans="1:50" x14ac:dyDescent="0.2">
      <c r="A734" s="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</row>
    <row r="735" spans="1:50" x14ac:dyDescent="0.2">
      <c r="A735" s="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</row>
    <row r="736" spans="1:50" x14ac:dyDescent="0.2">
      <c r="A736" s="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</row>
    <row r="737" spans="1:50" x14ac:dyDescent="0.2">
      <c r="A737" s="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</row>
    <row r="738" spans="1:50" x14ac:dyDescent="0.2">
      <c r="A738" s="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</row>
    <row r="739" spans="1:50" x14ac:dyDescent="0.2">
      <c r="A739" s="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</row>
    <row r="740" spans="1:50" x14ac:dyDescent="0.2">
      <c r="A740" s="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</row>
    <row r="741" spans="1:50" x14ac:dyDescent="0.2">
      <c r="A741" s="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</row>
    <row r="742" spans="1:50" x14ac:dyDescent="0.2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</row>
    <row r="743" spans="1:50" x14ac:dyDescent="0.2">
      <c r="A743" s="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</row>
    <row r="744" spans="1:50" x14ac:dyDescent="0.2">
      <c r="A744" s="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</row>
    <row r="745" spans="1:50" x14ac:dyDescent="0.2">
      <c r="A745" s="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</row>
    <row r="746" spans="1:50" x14ac:dyDescent="0.2">
      <c r="A746" s="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</row>
    <row r="747" spans="1:50" x14ac:dyDescent="0.2">
      <c r="A747" s="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</row>
    <row r="748" spans="1:50" x14ac:dyDescent="0.2">
      <c r="A748" s="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</row>
    <row r="749" spans="1:50" x14ac:dyDescent="0.2">
      <c r="A749" s="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</row>
    <row r="750" spans="1:50" x14ac:dyDescent="0.2">
      <c r="A750" s="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</row>
    <row r="751" spans="1:50" x14ac:dyDescent="0.2">
      <c r="A751" s="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</row>
    <row r="752" spans="1:50" x14ac:dyDescent="0.2">
      <c r="A752" s="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</row>
    <row r="753" spans="1:50" x14ac:dyDescent="0.2">
      <c r="A753" s="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</row>
    <row r="754" spans="1:50" x14ac:dyDescent="0.2">
      <c r="A754" s="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</row>
    <row r="755" spans="1:50" x14ac:dyDescent="0.2">
      <c r="A755" s="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</row>
    <row r="756" spans="1:50" x14ac:dyDescent="0.2">
      <c r="A756" s="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</row>
    <row r="757" spans="1:50" x14ac:dyDescent="0.2">
      <c r="A757" s="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</row>
    <row r="758" spans="1:50" x14ac:dyDescent="0.2">
      <c r="A758" s="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</row>
    <row r="759" spans="1:50" x14ac:dyDescent="0.2">
      <c r="A759" s="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</row>
    <row r="760" spans="1:50" x14ac:dyDescent="0.2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</row>
    <row r="761" spans="1:50" x14ac:dyDescent="0.2">
      <c r="A761" s="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</row>
    <row r="762" spans="1:50" x14ac:dyDescent="0.2">
      <c r="A762" s="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</row>
    <row r="763" spans="1:50" x14ac:dyDescent="0.2">
      <c r="A763" s="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</row>
    <row r="764" spans="1:50" x14ac:dyDescent="0.2">
      <c r="A764" s="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</row>
    <row r="765" spans="1:50" x14ac:dyDescent="0.2">
      <c r="A765" s="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</row>
    <row r="766" spans="1:50" x14ac:dyDescent="0.2">
      <c r="A766" s="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</row>
    <row r="767" spans="1:50" x14ac:dyDescent="0.2">
      <c r="A767" s="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</row>
    <row r="768" spans="1:50" x14ac:dyDescent="0.2">
      <c r="A768" s="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</row>
    <row r="769" spans="1:50" x14ac:dyDescent="0.2">
      <c r="A769" s="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</row>
    <row r="770" spans="1:50" x14ac:dyDescent="0.2">
      <c r="A770" s="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</row>
    <row r="771" spans="1:50" x14ac:dyDescent="0.2">
      <c r="A771" s="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</row>
    <row r="772" spans="1:50" x14ac:dyDescent="0.2">
      <c r="A772" s="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</row>
    <row r="773" spans="1:50" x14ac:dyDescent="0.2">
      <c r="A773" s="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</row>
    <row r="774" spans="1:50" x14ac:dyDescent="0.2">
      <c r="A774" s="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</row>
    <row r="775" spans="1:50" x14ac:dyDescent="0.2">
      <c r="A775" s="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</row>
    <row r="776" spans="1:50" x14ac:dyDescent="0.2">
      <c r="A776" s="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</row>
    <row r="777" spans="1:50" x14ac:dyDescent="0.2">
      <c r="A777" s="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</row>
    <row r="778" spans="1:50" x14ac:dyDescent="0.2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</row>
    <row r="779" spans="1:50" x14ac:dyDescent="0.2">
      <c r="A779" s="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</row>
    <row r="780" spans="1:50" x14ac:dyDescent="0.2">
      <c r="A780" s="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</row>
    <row r="781" spans="1:50" x14ac:dyDescent="0.2">
      <c r="A781" s="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</row>
    <row r="782" spans="1:50" x14ac:dyDescent="0.2">
      <c r="A782" s="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</row>
    <row r="783" spans="1:50" x14ac:dyDescent="0.2">
      <c r="A783" s="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</row>
    <row r="784" spans="1:50" x14ac:dyDescent="0.2">
      <c r="A784" s="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</row>
    <row r="785" spans="1:50" x14ac:dyDescent="0.2">
      <c r="A785" s="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</row>
    <row r="786" spans="1:50" x14ac:dyDescent="0.2">
      <c r="A786" s="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</row>
    <row r="787" spans="1:50" x14ac:dyDescent="0.2">
      <c r="A787" s="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</row>
    <row r="788" spans="1:50" x14ac:dyDescent="0.2">
      <c r="A788" s="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</row>
    <row r="789" spans="1:50" x14ac:dyDescent="0.2">
      <c r="A789" s="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</row>
    <row r="790" spans="1:50" x14ac:dyDescent="0.2">
      <c r="A790" s="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</row>
    <row r="791" spans="1:50" x14ac:dyDescent="0.2">
      <c r="A791" s="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</row>
    <row r="792" spans="1:50" x14ac:dyDescent="0.2">
      <c r="A792" s="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</row>
    <row r="793" spans="1:50" x14ac:dyDescent="0.2">
      <c r="A793" s="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</row>
    <row r="794" spans="1:50" x14ac:dyDescent="0.2">
      <c r="A794" s="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</row>
    <row r="795" spans="1:50" x14ac:dyDescent="0.2">
      <c r="A795" s="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</row>
    <row r="796" spans="1:50" x14ac:dyDescent="0.2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</row>
    <row r="797" spans="1:50" x14ac:dyDescent="0.2">
      <c r="A797" s="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</row>
    <row r="798" spans="1:50" x14ac:dyDescent="0.2">
      <c r="A798" s="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</row>
    <row r="799" spans="1:50" x14ac:dyDescent="0.2">
      <c r="A799" s="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</row>
    <row r="800" spans="1:50" x14ac:dyDescent="0.2">
      <c r="A800" s="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</row>
    <row r="801" spans="1:50" x14ac:dyDescent="0.2">
      <c r="A801" s="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</row>
    <row r="802" spans="1:50" x14ac:dyDescent="0.2">
      <c r="A802" s="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</row>
    <row r="803" spans="1:50" x14ac:dyDescent="0.2">
      <c r="A803" s="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</row>
    <row r="804" spans="1:50" x14ac:dyDescent="0.2">
      <c r="A804" s="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</row>
    <row r="805" spans="1:50" x14ac:dyDescent="0.2">
      <c r="A805" s="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</row>
    <row r="806" spans="1:50" x14ac:dyDescent="0.2">
      <c r="A806" s="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</row>
    <row r="807" spans="1:50" x14ac:dyDescent="0.2">
      <c r="A807" s="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</row>
    <row r="808" spans="1:50" x14ac:dyDescent="0.2">
      <c r="A808" s="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</row>
    <row r="809" spans="1:50" x14ac:dyDescent="0.2">
      <c r="A809" s="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</row>
    <row r="810" spans="1:50" x14ac:dyDescent="0.2">
      <c r="A810" s="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</row>
    <row r="811" spans="1:50" x14ac:dyDescent="0.2">
      <c r="A811" s="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</row>
    <row r="812" spans="1:50" x14ac:dyDescent="0.2">
      <c r="A812" s="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</row>
    <row r="813" spans="1:50" x14ac:dyDescent="0.2">
      <c r="A813" s="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</row>
    <row r="814" spans="1:50" x14ac:dyDescent="0.2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</row>
    <row r="815" spans="1:50" x14ac:dyDescent="0.2">
      <c r="A815" s="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</row>
    <row r="816" spans="1:50" x14ac:dyDescent="0.2">
      <c r="A816" s="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</row>
    <row r="817" spans="1:50" x14ac:dyDescent="0.2">
      <c r="A817" s="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</row>
    <row r="818" spans="1:50" x14ac:dyDescent="0.2">
      <c r="A818" s="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</row>
    <row r="819" spans="1:50" x14ac:dyDescent="0.2">
      <c r="A819" s="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</row>
    <row r="820" spans="1:50" x14ac:dyDescent="0.2">
      <c r="A820" s="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</row>
    <row r="821" spans="1:50" x14ac:dyDescent="0.2">
      <c r="A821" s="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</row>
    <row r="822" spans="1:50" x14ac:dyDescent="0.2">
      <c r="A822" s="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</row>
    <row r="823" spans="1:50" x14ac:dyDescent="0.2">
      <c r="A823" s="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</row>
    <row r="824" spans="1:50" x14ac:dyDescent="0.2">
      <c r="A824" s="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</row>
    <row r="825" spans="1:50" x14ac:dyDescent="0.2">
      <c r="A825" s="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</row>
    <row r="826" spans="1:50" x14ac:dyDescent="0.2">
      <c r="A826" s="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</row>
    <row r="827" spans="1:50" x14ac:dyDescent="0.2">
      <c r="A827" s="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</row>
    <row r="828" spans="1:50" x14ac:dyDescent="0.2">
      <c r="A828" s="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</row>
    <row r="829" spans="1:50" x14ac:dyDescent="0.2">
      <c r="A829" s="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</row>
    <row r="830" spans="1:50" x14ac:dyDescent="0.2">
      <c r="A830" s="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</row>
    <row r="831" spans="1:50" x14ac:dyDescent="0.2">
      <c r="A831" s="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</row>
    <row r="832" spans="1:50" x14ac:dyDescent="0.2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</row>
    <row r="833" spans="1:50" x14ac:dyDescent="0.2">
      <c r="A833" s="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</row>
    <row r="834" spans="1:50" x14ac:dyDescent="0.2">
      <c r="A834" s="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</row>
    <row r="835" spans="1:50" x14ac:dyDescent="0.2">
      <c r="A835" s="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</row>
    <row r="836" spans="1:50" x14ac:dyDescent="0.2">
      <c r="A836" s="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</row>
    <row r="837" spans="1:50" x14ac:dyDescent="0.2">
      <c r="A837" s="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</row>
    <row r="838" spans="1:50" x14ac:dyDescent="0.2">
      <c r="A838" s="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</row>
    <row r="839" spans="1:50" x14ac:dyDescent="0.2">
      <c r="A839" s="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</row>
    <row r="840" spans="1:50" x14ac:dyDescent="0.2">
      <c r="A840" s="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</row>
    <row r="841" spans="1:50" x14ac:dyDescent="0.2">
      <c r="A841" s="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</row>
    <row r="842" spans="1:50" x14ac:dyDescent="0.2">
      <c r="A842" s="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</row>
    <row r="843" spans="1:50" x14ac:dyDescent="0.2">
      <c r="A843" s="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</row>
    <row r="844" spans="1:50" x14ac:dyDescent="0.2">
      <c r="A844" s="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</row>
    <row r="845" spans="1:50" x14ac:dyDescent="0.2">
      <c r="A845" s="3"/>
      <c r="B845" s="4"/>
      <c r="C845" s="4"/>
      <c r="D845" s="4"/>
      <c r="E845" s="4"/>
      <c r="F845" s="4"/>
      <c r="G845" s="4"/>
      <c r="I845" s="4"/>
      <c r="J845" s="4"/>
      <c r="K845" s="4"/>
      <c r="L845" s="4"/>
      <c r="M845" s="4"/>
      <c r="N845" s="4"/>
      <c r="O845" s="4"/>
      <c r="P845" s="4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</row>
  </sheetData>
  <hyperlinks>
    <hyperlink ref="B29" r:id="rId1" xr:uid="{6EC14CD1-8AB5-5146-80D2-0664AD7D7234}"/>
    <hyperlink ref="B30" r:id="rId2" xr:uid="{0C4BEBDB-8B64-B343-9B60-6E2B9D77D062}"/>
    <hyperlink ref="B31" r:id="rId3" xr:uid="{44F9C19F-3B39-9348-8E89-ECA35BEB7D39}"/>
    <hyperlink ref="B32" r:id="rId4" xr:uid="{2DEFAA68-DB13-8E4E-AF66-6EBEA8934ED9}"/>
    <hyperlink ref="B28" r:id="rId5" xr:uid="{13656516-1540-F24D-877F-AF456984F975}"/>
    <hyperlink ref="T6" r:id="rId6" display="https://fruitporttownship-mi.gov/wp-content/uploads/2025/08/CD42-65-thru-89.pdf" xr:uid="{563AA62E-BF2A-0D48-8908-E6F1146A5641}"/>
    <hyperlink ref="T13" r:id="rId7" display="https://ecode360.com/37642039" xr:uid="{921361AE-1CDB-CF4E-B507-FF80E371671A}"/>
    <hyperlink ref="T17" r:id="rId8" display="Directly adjacent to JTB Homes Placid Waters housing development currently under construction" xr:uid="{F239E676-67FA-A947-B42B-7A2863861C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Sadie Brooks</dc:creator>
  <cp:lastModifiedBy>Sadie Brooks</cp:lastModifiedBy>
  <dcterms:created xsi:type="dcterms:W3CDTF">2026-03-30T19:53:44Z</dcterms:created>
  <dcterms:modified xsi:type="dcterms:W3CDTF">2026-07-23T14:12:23Z</dcterms:modified>
</cp:coreProperties>
</file>